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hje" sheetId="1" r:id="rId4"/>
    <sheet state="visible" name="Kulut" sheetId="2" r:id="rId5"/>
    <sheet state="visible" name="Rakennusosat" sheetId="3" r:id="rId6"/>
    <sheet state="visible" name="Kuluva kausi 2026" sheetId="4" r:id="rId7"/>
    <sheet state="visible" name="Pitkä aikaväli" sheetId="5" r:id="rId8"/>
    <sheet state="visible" name="Skenaariot" sheetId="6" r:id="rId9"/>
    <sheet state="visible" name="Kulut tileittäin" sheetId="7" r:id="rId10"/>
    <sheet state="visible" name="Tulot" sheetId="8" r:id="rId11"/>
    <sheet state="visible" name="Taloudellinen asema" sheetId="9" r:id="rId12"/>
    <sheet state="visible" name="Budjettitarkkuus" sheetId="10" r:id="rId13"/>
  </sheets>
  <definedNames/>
  <calcPr/>
  <extLst>
    <ext uri="GoogleSheetsCustomDataVersion2">
      <go:sheetsCustomData xmlns:go="http://customooxmlschemas.google.com/" r:id="rId14" roundtripDataChecksum="0YQ0KV/UqizZCk9kkh/Co16hfQOCSlloCFYAbcf6czM="/>
    </ext>
  </extLst>
</workbook>
</file>

<file path=xl/sharedStrings.xml><?xml version="1.0" encoding="utf-8"?>
<sst xmlns="http://schemas.openxmlformats.org/spreadsheetml/2006/main" count="533" uniqueCount="397">
  <si>
    <t>Kuluva kausi 2026</t>
  </si>
  <si>
    <t>Taloyhtiö-manager – kulu- ja elinkaariterminaali</t>
  </si>
  <si>
    <t>Tälle on rakennettu kaksi välilehteä alkuun: Kulut (A) ja Rakennusosat (B). Molemmat on kuvattu tarkemmin alla.</t>
  </si>
  <si>
    <t>VÄLILEHTI: Kulut</t>
  </si>
  <si>
    <t>Vastaa kysymykseen “mihin raha menee”. Rivit ovat tilinpäätöksen hoitokuluryhmät sellaisenaan (ei omaa luokittelua) täydennettynä kahdella tägillä: Luonne (Hoito/Korjaus) ja Ohjattavuus (Kiinteä/Muuttuva/Sekä). Toteumat 2023–2025 tulevat toimintakertomuksista, budjetit 2025 ja 2026 isännöitsijän talousarvioista.</t>
  </si>
  <si>
    <t>Budjetti ja käytettävissä oleva raha tälle tilikaudelle, sekä suunnitellut ja toteutuneet korjaukset. Lisää rivejä kumpaankin tauluun tarvittaessa – kaavat laajenevat mukaan riville 30 asti.</t>
  </si>
  <si>
    <t>VÄLILEHTI: Rakennusosat</t>
  </si>
  <si>
    <t>Vastaa kysymykseen “milloin vastiketta pitää nostaa”. Yksi rivi = yksi rakennusosa. 'Käyttöikä min/max' on lähteestä (hallituksen selvitys tai yleinen KH-tyyppinen ohjearvo), ja sarakkeet F–G laskevat arvioidun seuraavan toimenpidevuoden automaattisesti (viimeisin toimenpide + käyttöikä). Tällä ei vielä ole kuntoarvioita, joten kaikki rivit nojaavat asennusvuoteen + taulukkokäyttöikään – se on normaali ja odotettu tilanne, ei puute.</t>
  </si>
  <si>
    <t>Kulut – mihin raha menee</t>
  </si>
  <si>
    <t>Rakennusosat – elinkaariaikajana</t>
  </si>
  <si>
    <t>Värikoodit</t>
  </si>
  <si>
    <t xml:space="preserve">  Sininen teksti = alkuperäisestä dokumentista poimittu luku (et muokkaa ellei lähde muutu)</t>
  </si>
  <si>
    <t>TILANNE NYT</t>
  </si>
  <si>
    <t>Lähde: toimintakertomukset ja talousarviovertailut, tilikaudet 2023–2025</t>
  </si>
  <si>
    <t>Talo: rivitalo, puuelementti, valmistunut 2007. Lähde: hallituksen kirjallinen selvitys kunnossapito- ja muutostyöistä (2024) + toimintakertomukset.</t>
  </si>
  <si>
    <t>Kassa (31.12.2025)</t>
  </si>
  <si>
    <t xml:space="preserve">  Musta teksti = kaava (laskee itse, älä kirjoita päälle)</t>
  </si>
  <si>
    <t>Ryhmä</t>
  </si>
  <si>
    <t xml:space="preserve">  Keltainen tausta = arvio/oletus jota kannattaa tarkentaa (esim. kuntoarviolla)</t>
  </si>
  <si>
    <t>Luonne</t>
  </si>
  <si>
    <t>Ohjattavuus</t>
  </si>
  <si>
    <t>Rakennusosa</t>
  </si>
  <si>
    <t>Toteuma 2023</t>
  </si>
  <si>
    <t xml:space="preserve">  Oranssi tausta = DATA GAP: lähdedokumentissa ei ollut tätä tarkkaa tietoa, käytetty yleistä arviota</t>
  </si>
  <si>
    <t>Viimeisin
toimenpide (v)</t>
  </si>
  <si>
    <t>Toteuma 2024</t>
  </si>
  <si>
    <t>Toimenpiteen
tyyppi</t>
  </si>
  <si>
    <t>Toteuma 2025</t>
  </si>
  <si>
    <t>Käyttöikä
min (v)</t>
  </si>
  <si>
    <t>Budjetti 2025</t>
  </si>
  <si>
    <t>Lähteet</t>
  </si>
  <si>
    <t>Käyttöikä
max (v)</t>
  </si>
  <si>
    <t>Budjetti 2026</t>
  </si>
  <si>
    <t>Poikkeama 2025
(Budj.-Tot.)</t>
  </si>
  <si>
    <t>Toimintakertomukset ja tilinpäätökset tilikausilta 2023–2025 (talousarviovertailut, tuloslaskelmat, vastikerahoituslaskelmat) sekä hallituksen kirjallinen selvitys suoritetuista huomattavista kunnossapito- ja muutostyöistä (laadittu 2024, sisältää korjaushistorian 2012–2025 ja teknisen käyttöikätaulukon). Kaikki henkilö- ja yhtiötunnisteet on peitetty lähteestä jo ennen tätä taulukkoa.</t>
  </si>
  <si>
    <t>Arvio: aikaisin-
taan (v)</t>
  </si>
  <si>
    <t>Muutos
24→25</t>
  </si>
  <si>
    <t>Huom.</t>
  </si>
  <si>
    <t>Lisätyt välilehdet</t>
  </si>
  <si>
    <t>Arvio: viimeis-
taan (v)</t>
  </si>
  <si>
    <t>Budjetti 2024</t>
  </si>
  <si>
    <t>Budjetti 2023</t>
  </si>
  <si>
    <t>Lähde</t>
  </si>
  <si>
    <t>Kulut tileittäin: kirjanpidon tilitason erittely (2024, 2025, budjetti 2026) jokaiselle Kulut-välilehden ryhmälle – tällä nähdään mm. että “Korjaukset” on joka vuosi eri lista pieniä yksittäisiä projekteja, ei yksi kasvava trendi.</t>
  </si>
  <si>
    <t>2026 korjausvaraus (budjetti)</t>
  </si>
  <si>
    <t>Henkilöstökulut (hallituspalkkiot)</t>
  </si>
  <si>
    <t>Tulot: sama rakenne kuin Kulut-välilehdellä tulopuolelle, plus hoitovastikkeiden tilitason erittely ja hoitokate-yhteenveto (tulot miinus kulut per vuosi).</t>
  </si>
  <si>
    <t>Tietolähteen taso</t>
  </si>
  <si>
    <t>Taloudellinen asema: tase tiivistettynä 2024 vs 2025 sekä pari tunnuslukua (maksuvalmius, kassa kuukausina hoitokuluja). Rakennuksen kirjanpitoarvo ei kerro fyysistä kuntoa – se on Rakennusosat-välilehdellä.</t>
  </si>
  <si>
    <t>Hoito</t>
  </si>
  <si>
    <t>Arvioitu hinta</t>
  </si>
  <si>
    <t>Budjettitarkkuus</t>
  </si>
  <si>
    <t>Rivityyppi</t>
  </si>
  <si>
    <t>Kiinteä</t>
  </si>
  <si>
    <t>Vertaa toteumaa budjettiin vuosille 2024 ja 2025 (2024:n oma budjetti lisätty Kulut- ja Tulot-välilehdille uutena sarakkeena). Näyttää mitkä kuluryhmät osuvat tarkasti vuodesta toiseen ja mitkä järjestelmällisesti yli- tai alittavat – hyödyllistä tietoa ensi vuoden talousarviota laadittaessa.</t>
  </si>
  <si>
    <t>Piha-asfaltti</t>
  </si>
  <si>
    <t>2023 mukana</t>
  </si>
  <si>
    <t>SUUNNITELLUT KORJAUKSET 2026</t>
  </si>
  <si>
    <t>2023 (kuvista OCR:lla poimittu toimintakertomus) on nyt mukana Kulut/Tulot/Budjettitarkkuus-välilehdillä. Toteumaluvut täsmäsivät täydellisesti jo aiemmin käytettyyn 2024-raportin vertailusarakkeeseen. Arvio 2023 (budjetti) jouduttiin rekonstruoimaan OCR:n sekoittamasta taulukosta, mutta täsmäytettiin Hoitokate-kaavalla senttiin – käyttäjä vahvisti sen oikeaksi.</t>
  </si>
  <si>
    <t>B-osio: Kuluva kausi 2026 ja Pitkä aikaväli</t>
  </si>
  <si>
    <t>Kohde / toimenpide</t>
  </si>
  <si>
    <t>Kuluva kausi 2026: tämän vuoden korjausvaraus, suunnitellut ja toteutuneet korjaukset. Molempiin tauluihin on valmiiksi tyhjiä rivejä lisäämistä varten (summakaavat kattavat riville 30 asti).</t>
  </si>
  <si>
    <t>Uusiminen</t>
  </si>
  <si>
    <t>Pitkä aikaväli: lämminvesivaraajien poistumaskenaariot (A/B/C) ja strategiavertailu. Tämä on erillinen omalta välilehdeltään, koska varaajat eivät hajoa yhtenä remonttivuotena vaan yksitellen – muille Rakennusosat-riveille lisättiin vain hinta- ja rivityyppisarakkeet.</t>
  </si>
  <si>
    <t>Ajankohta</t>
  </si>
  <si>
    <t>Tila</t>
  </si>
  <si>
    <t>Skenaariot-välilehti</t>
  </si>
  <si>
    <t>Yleinen tulevien remonttien malli. Kustannusmatriisiin kirjoitetaan jokaiselle riville remontin kustannus oikean vuoden kohdalle, ja Skenaario-tägi (Varma/Perus/Paha) ohjaa rivin oikeaan kolmesta kassaprojektiosta. Projektio näyttää saldon kehityksen ja liputtaa ensimmäisen vuoden jolloin kassa alittaa puskurirajan – eli milloin vastiketta viimeistään pitää nostaa kussakin skenaariossa. Lämminvesivaraajat kytkeytyvät automaattisesti (linkkirivit) Pitkä aikaväli -välilehden A/B/C-laskelmasta.</t>
  </si>
  <si>
    <t>Ilmanvaihdon puhdistus</t>
  </si>
  <si>
    <t>2026</t>
  </si>
  <si>
    <t>Suunniteltu</t>
  </si>
  <si>
    <t>Hallituksen kunnossapitotarveselvitys 2024–2028</t>
  </si>
  <si>
    <t>Hallituksen selvitys 2024, s.15</t>
  </si>
  <si>
    <t>Asennusvuosi + taulukko</t>
  </si>
  <si>
    <t>Hallintopalvelut</t>
  </si>
  <si>
    <t>Kerta</t>
  </si>
  <si>
    <t>Parvekkeiden alapintojen käsittely</t>
  </si>
  <si>
    <t>Pintakäsittely</t>
  </si>
  <si>
    <t>SUUNNITELTU YHTEENSÄ</t>
  </si>
  <si>
    <t>Isännöinti, kokouspalkkiot, pankki- ja toimistokulut</t>
  </si>
  <si>
    <t>Käyttö- ja huoltopalvelut</t>
  </si>
  <si>
    <t>Sekä</t>
  </si>
  <si>
    <t>Hallituksen selvitys 2024, s.15 (yleisarvio, ei oma sykli)</t>
  </si>
  <si>
    <t>Karkea haarukka</t>
  </si>
  <si>
    <t>DATA GAP: tarkkaa pintakäsittelyväliä ei ole kirjattu, arvioitu yleisen käytännön mukaan</t>
  </si>
  <si>
    <t>2025: sis. mm. palovaroittimien asennus, keinun kunnostus</t>
  </si>
  <si>
    <t>Ilmastointihormit ja -koneet, huolto</t>
  </si>
  <si>
    <t>Määräaikaishuolto</t>
  </si>
  <si>
    <t>TOTEUTUNEET KORJAUKSET 2026</t>
  </si>
  <si>
    <t>Hinta</t>
  </si>
  <si>
    <t>Ulkoalueiden hoitopalvelut</t>
  </si>
  <si>
    <t>Hallituksen selvitys 2024, s.15 (ei omaa sykliä)</t>
  </si>
  <si>
    <t>Pvm</t>
  </si>
  <si>
    <t>Lähde/tosite</t>
  </si>
  <si>
    <t>DATA GAP: huoltosykli ei ole taulukossa, tavanomainen IV-huoltoväli oletettu</t>
  </si>
  <si>
    <t>Viemärilinjat ja kaivot, tarkastus</t>
  </si>
  <si>
    <t>Tarkastus</t>
  </si>
  <si>
    <t>Vesi- ja jätevesi</t>
  </si>
  <si>
    <t>Muuttuva</t>
  </si>
  <si>
    <t>DATA GAP: tarkastussykli oletettu</t>
  </si>
  <si>
    <t>Ulkoseinien maalaus</t>
  </si>
  <si>
    <t>Kulutus nousussa 3v putkeen (l/hlö/vrk) – seurattava</t>
  </si>
  <si>
    <t>Sähkö</t>
  </si>
  <si>
    <t>TOTEUTUNUT YHTEENSÄ</t>
  </si>
  <si>
    <t>Hallituksen selvitys 2024, s.15 (puuverhous 30–50v = rakenteen ikä, ei maalausväli)</t>
  </si>
  <si>
    <t>Jätehuolto</t>
  </si>
  <si>
    <t>DATA GAP: maalausväli arvioitu, ei virallinen lähde</t>
  </si>
  <si>
    <t>Vesikate, huolto</t>
  </si>
  <si>
    <t>Kevyt huolto</t>
  </si>
  <si>
    <t>YHTEENVETO</t>
  </si>
  <si>
    <t>Vahinkovakuutukset</t>
  </si>
  <si>
    <t>Kate harja/tiili – taulukossa vain peltikatteille omat arvot</t>
  </si>
  <si>
    <t>Varauksesta käytetty (toteutunut)</t>
  </si>
  <si>
    <t>Kiinteistövero</t>
  </si>
  <si>
    <t>Palovaroittimet</t>
  </si>
  <si>
    <t>Varauksesta vielä sidottu (suunniteltu, ei toteutunut)</t>
  </si>
  <si>
    <t>Varauksesta vapaana</t>
  </si>
  <si>
    <t>Korjaukset</t>
  </si>
  <si>
    <t>Korjaus</t>
  </si>
  <si>
    <t>Mahtuuko budjettiin?</t>
  </si>
  <si>
    <t>Budjetoitu ~9,5–9,7 t€ 2v putkeen, toteuma alle – kysy hallitukselta mikä korjaus on kyseessä</t>
  </si>
  <si>
    <t>Käyttövesiputket</t>
  </si>
  <si>
    <t>YHTEENSÄ</t>
  </si>
  <si>
    <t>Alkuperäinen</t>
  </si>
  <si>
    <t>Iso hajonta – kuntoarvio kaventaisi merkittävästi</t>
  </si>
  <si>
    <t>Lämminvesivaraajat</t>
  </si>
  <si>
    <t>DATA GAP – ei omaa riviä Hallituksen selvitys 2024 s.15 -taulukossa, yleinen ohjearvo sähkövaraajille</t>
  </si>
  <si>
    <t>Mainittu hallituksen kunnossapitotarveselvityksessä 2024–2028 (“varautuminen vaihtoon”) – arvioitu ikkuna on jo alkanut, kannattaa selvittää nykykunto pian</t>
  </si>
  <si>
    <t>1 800 €/kpl (ks. Pitkä aikaväli -välilehti)</t>
  </si>
  <si>
    <t>Jatkuva (poistuma)</t>
  </si>
  <si>
    <t>Salaojajärjestelmä</t>
  </si>
  <si>
    <t>Julkisivu, puuverhousrakenne</t>
  </si>
  <si>
    <t>Yhteenveto: Luonne (2025 toteuma)</t>
  </si>
  <si>
    <t>Pintakäsittely (eri rivi) tehtävä tämän välissä useammin</t>
  </si>
  <si>
    <t>Hoito yhteensä</t>
  </si>
  <si>
    <t>Perustukset</t>
  </si>
  <si>
    <t>Ei kiireellinen</t>
  </si>
  <si>
    <t>Vesikate, täysi uusiminen</t>
  </si>
  <si>
    <t>Korjaus yhteensä</t>
  </si>
  <si>
    <t>DATA GAP – ei omaa riviä taulukossa tiilikatteelle</t>
  </si>
  <si>
    <t>Taulukossa vain peltikatteille – vahvista kuntoarviolla ennen isoja päätöksiä</t>
  </si>
  <si>
    <t>Hinta-arviot puuttuvat vielä useimmilta riveiltä (oranssi = DATA GAP) – täydennä kun urakkatarjous tai kuntoarvio saadaan. Lämminvesivaraajien skenaariolaskelma on omalla välilehdellään (Pitkä aikaväli), koska se ei ole yksi remonttivuosi vaan jatkuva poistuma.</t>
  </si>
  <si>
    <t>Yhteenveto: Ohjattavuus (2025 toteuma)</t>
  </si>
  <si>
    <t>Kiinteä yhteensä</t>
  </si>
  <si>
    <t>Muuttuva yhteensä</t>
  </si>
  <si>
    <t>Sekä yhteensä</t>
  </si>
  <si>
    <t>Pitkä aikaväli – lämminvesivaraajien poistumaskenaariot</t>
  </si>
  <si>
    <t>13 asuntoa, 13 alkuperäistä varaajaa (2007), 1 jo vaihdettu – 12 jäljellä. Yksikköhinta 1 800 € on karkea arvio (et muistanut tarkkaa summaa), tärkeä tarkentaa kun seuraava vaihto tehdään.</t>
  </si>
  <si>
    <t>Yksikköhinta / varaaja</t>
  </si>
  <si>
    <t>Jäljellä (kpl)</t>
  </si>
  <si>
    <t>POISTUMASKENAARIOT (kpl/vuosi)</t>
  </si>
  <si>
    <t>Vuosi</t>
  </si>
  <si>
    <t>A: Hidas
(kpl)</t>
  </si>
  <si>
    <t>A: kust.</t>
  </si>
  <si>
    <t>B: Perusura
(kpl)</t>
  </si>
  <si>
    <t>B: kust.</t>
  </si>
  <si>
    <t>C: Ryväs
(kpl)</t>
  </si>
  <si>
    <t>C: kust.</t>
  </si>
  <si>
    <t>Yhteensä (kpl / €)</t>
  </si>
  <si>
    <t>Huipputilikausi (€)</t>
  </si>
  <si>
    <t>A = havaittu tahti jatkuu (1 kpl / n. 3 v). B = ikääntyvä kanta hajoaa kiihtyvästi, kaikki vaihdettu n. 2034 mennessä. C = stressitesti: sama asennusvuosi + sama vesi voi tarkoittaa useamman hajoavan yhtä aikaa. Tämä on mallinnus, ei ennuste – tarkoitus on nähdä kuinka iso puskuri kannattaa pitää varalla.</t>
  </si>
  <si>
    <t>STRATEGIAVERTAILU</t>
  </si>
  <si>
    <t>Strategia</t>
  </si>
  <si>
    <t>Yksikköhinta</t>
  </si>
  <si>
    <t>Kokonaishinta</t>
  </si>
  <si>
    <t>Ajoitus</t>
  </si>
  <si>
    <t>Nykyinen: vaihto rikkoutuessa</t>
  </si>
  <si>
    <t>Hajautettu, ks. skenaariot</t>
  </si>
  <si>
    <t>Ei suunnittelukustannusta, mutta päivystysluonteinen ja vesivahinkoriski jos varaaja hajoaa ilman ennakkovaroitusta</t>
  </si>
  <si>
    <t>Vaihtoehto: suunniteltu sarjavaihto</t>
  </si>
  <si>
    <t>Kertaurakka, 1 tilikausi</t>
  </si>
  <si>
    <t>Oletettu n. 15 % sarja-alennus (arvio, ei tarjousta) – mutta osa varaajista vaihdettaisiin ennen käyttöikänsä loppua, ja koko summa yhtenä vuonna kuormittaa kassaa/vastiketta kerralla</t>
  </si>
  <si>
    <t>Tämänhetkinen näyttö (vain 1/13 hajonnut 19 vuodessa) tukee ennemmin nykyistä vaihda-rikkoutuessa-tapaa kuin kallista ennakoivaa sarjavaihtoa – mutta tätä kannattaa arvioida uudelleen jos vikatahti kiihtyy (esim. 2–3 hajoaa peräkkäisinä vuosina).</t>
  </si>
  <si>
    <t>Skenaariot – tulevien remonttien kassavaikutus</t>
  </si>
  <si>
    <t>Kirjoita jokaiselle riville remontin kustannus sille vuodelle jolloin sen odotetaan osuvan. Kertaremontti = yksi luku; jakautuva = useampi; jatkuva = luku joka vuodelle. Skenaario-sarake ohjaa rivin oikeaan kassaprojektioon. Lisää rivejä tyhjien jatkoksi – kaavat kattavat kaikki rivit taulukon loppuun asti.</t>
  </si>
  <si>
    <t>Oletukset (muokattavat, keltaiset)</t>
  </si>
  <si>
    <t>Lähtökassa (2025 lopun kassa)</t>
  </si>
  <si>
    <t>Korjauksiin käytettävissä / vuosi</t>
  </si>
  <si>
    <t>Puskuriraja (hälytys jos saldo alittaa)</t>
  </si>
  <si>
    <t>Skenaario-tägit</t>
  </si>
  <si>
    <t>Varma</t>
  </si>
  <si>
    <t>tulee joka tapauksessa</t>
  </si>
  <si>
    <t>Perus</t>
  </si>
  <si>
    <t>todennäköinen lisä</t>
  </si>
  <si>
    <t>Paha</t>
  </si>
  <si>
    <t>stressitesti / riski</t>
  </si>
  <si>
    <t>KUSTANNUSMATRIISI (€ per vuosi)</t>
  </si>
  <si>
    <t>Skenaario</t>
  </si>
  <si>
    <t>Lämminvesivaraajat (hidas)</t>
  </si>
  <si>
    <t>Linkki: Pitkä aikaväli A-skenaario</t>
  </si>
  <si>
    <t>Lämminvesivaraajat (perusuran lisä)</t>
  </si>
  <si>
    <t>Linkki: B miinus A</t>
  </si>
  <si>
    <t>Lämminvesivaraajat (ryvään lisä)</t>
  </si>
  <si>
    <t>Linkki: C miinus B</t>
  </si>
  <si>
    <t>IV-putkien eristys + homekorjaus (1 asunto)</t>
  </si>
  <si>
    <t>Toteutunut, 2 600 € / asunto</t>
  </si>
  <si>
    <t>Homekorjaus, todenn. jatko (2 asuntoa)</t>
  </si>
  <si>
    <t>2 x 2 600 €, arvioitu 2027–2028</t>
  </si>
  <si>
    <t>Homekorjaus, paha skenaario (3. asunto + laajenema)</t>
  </si>
  <si>
    <t>3 x 2 600 € worst case; tässä 3. asunto + varaus laajenemalle</t>
  </si>
  <si>
    <t>VUOSIKULUT SKENAARIOITTAIN</t>
  </si>
  <si>
    <t>Optimistinen (vain Varma)</t>
  </si>
  <si>
    <t>Perusura (Varma + Perus)</t>
  </si>
  <si>
    <t>Pessimistinen (kaikki)</t>
  </si>
  <si>
    <t>KASSAPROJEKTIO (saldo vuoden lopussa)</t>
  </si>
  <si>
    <t>Saldo – Optimistinen</t>
  </si>
  <si>
    <t>Saldo – Perusura</t>
  </si>
  <si>
    <t>Saldo – Pessimistinen</t>
  </si>
  <si>
    <t>HÄLYTYS: 1. vuosi jolloin saldo alittaa puskurirajan</t>
  </si>
  <si>
    <t>Optimistinen:</t>
  </si>
  <si>
    <t>Perusura:</t>
  </si>
  <si>
    <t>Pessimistinen:</t>
  </si>
  <si>
    <t>Kun säädät keltaista “Korjauksiin käytettävissä / vuosi” -solua ylöspäin, näet paljonko vuosivarausta pitäisi nostaa jotta pessimistinen skenaario pysyy puskurirajan yläpuolella – se on suoraan arvio vastikkeen korotustarpeesta.</t>
  </si>
  <si>
    <t>Nykyisillä luvuilla kassa kasvaa kaikissa skenaarioissa eikä puskuriraja ylity – vuosivaraus (9 680 €) riittää näihin remontteihin. Hälytys laukeaa vasta jos lisäät matriisiin isompia remontteja (esim. julkisivu, katto, putkisto hinta-arvioineen) tai lasket vuosivarausta. Juuri niiden isojen remonttien lisääminen on tämän välilehden varsinainen käyttötarkoitus.</t>
  </si>
  <si>
    <t>Kulut tileittäin – tilikohtainen erittely</t>
  </si>
  <si>
    <t>Lähde: Tuloslaskelma tileittäin 2025/2024 + talousarvio 2026 + 2023 toimintakertomuksen tekstiosa (Korjaukset täysin katettu, muualla osittain – ks. alaviite).</t>
  </si>
  <si>
    <t>Tili</t>
  </si>
  <si>
    <t>Nimi</t>
  </si>
  <si>
    <t>HENKILÖSTÖKULUT</t>
  </si>
  <si>
    <t>5060</t>
  </si>
  <si>
    <t>Hallituksen palkkiot</t>
  </si>
  <si>
    <t>Henkilöstökulut yhteensä</t>
  </si>
  <si>
    <t>HALLINTOPALVELUT</t>
  </si>
  <si>
    <t>5300</t>
  </si>
  <si>
    <t>Isännöintipalkkiot</t>
  </si>
  <si>
    <t>5301</t>
  </si>
  <si>
    <t>Isänn.kokouspalkkiot</t>
  </si>
  <si>
    <t>5310</t>
  </si>
  <si>
    <t>Isännöinnin erill. korv.</t>
  </si>
  <si>
    <t>5370</t>
  </si>
  <si>
    <t>Toimistokulut</t>
  </si>
  <si>
    <t>5373</t>
  </si>
  <si>
    <t>Postikulut</t>
  </si>
  <si>
    <t>5375</t>
  </si>
  <si>
    <t>Jäsenmaksut</t>
  </si>
  <si>
    <t>5377</t>
  </si>
  <si>
    <t>Pankkikulut</t>
  </si>
  <si>
    <t>5383</t>
  </si>
  <si>
    <t>Julkiset maksut</t>
  </si>
  <si>
    <t>Hallintopalvelut yhteensä</t>
  </si>
  <si>
    <t>KÄYTTÖ- JA HUOLTOPALVELUT</t>
  </si>
  <si>
    <t>5440</t>
  </si>
  <si>
    <t>Laajakaistamaksut</t>
  </si>
  <si>
    <t>5441</t>
  </si>
  <si>
    <t>Kaapeli-tv-maksut</t>
  </si>
  <si>
    <t>5480</t>
  </si>
  <si>
    <t>Muut huollon kulut</t>
  </si>
  <si>
    <t>2023: mm. viemäreiden huuhtelua. 2025: palovaroittimet, keinun kunnostus, kourujen puhdistus</t>
  </si>
  <si>
    <t>Käyttö- ja huoltopalvelut yhteensä</t>
  </si>
  <si>
    <t>ULKOALUEIDEN HOITOPALVELUT</t>
  </si>
  <si>
    <t>5530</t>
  </si>
  <si>
    <t>Ulkoalueiden kiinteistönhuolto</t>
  </si>
  <si>
    <t>2023: sis. pensasaitojen leikkaus</t>
  </si>
  <si>
    <t>5550</t>
  </si>
  <si>
    <t>Ulkoalueiden tarveaineet</t>
  </si>
  <si>
    <t>Tulot – mistä raha tulee</t>
  </si>
  <si>
    <t>Taloudellinen asema – tase tiivistettynä</t>
  </si>
  <si>
    <t>5560</t>
  </si>
  <si>
    <t>Ulkoalueiden työkalut</t>
  </si>
  <si>
    <t>Lähde: tase ja tase-erittelyt 31.12.2024 / 31.12.2025. Esitetty positiivisina euromäärinä (lähdejärjestelmän oma etumerkkikäytäntö on jätetty pois selkeyden vuoksi).</t>
  </si>
  <si>
    <t>Ulkoalueiden hoitopalvelut yhteensä</t>
  </si>
  <si>
    <t>Erä</t>
  </si>
  <si>
    <t>31.12.2024</t>
  </si>
  <si>
    <t>31.12.2025</t>
  </si>
  <si>
    <t>Muutos</t>
  </si>
  <si>
    <t>VARAT</t>
  </si>
  <si>
    <t>Pysyvät vastaavat</t>
  </si>
  <si>
    <t>VESI- JA JÄTEVESI</t>
  </si>
  <si>
    <t>Maa- ja vesialueet</t>
  </si>
  <si>
    <t>Hoitovastikkeet</t>
  </si>
  <si>
    <t>5800</t>
  </si>
  <si>
    <t>Vesi- ja jätevesimaksut</t>
  </si>
  <si>
    <t>5850</t>
  </si>
  <si>
    <t>Hulevesimaksut</t>
  </si>
  <si>
    <t>Liittymismaksut</t>
  </si>
  <si>
    <t>Vesi- ja jätevesi yhteensä</t>
  </si>
  <si>
    <t>as+autokatos+kulutusperust.+kaapeli-tv</t>
  </si>
  <si>
    <t>Rakennukset (kirjanpitoarvo)*</t>
  </si>
  <si>
    <t>Vuokrat (autopaikat)</t>
  </si>
  <si>
    <t>Pysyvät vastaavat yhteensä</t>
  </si>
  <si>
    <t>Muut tuotot</t>
  </si>
  <si>
    <t>SÄHKÖ</t>
  </si>
  <si>
    <t>Esiintyi vain 2023</t>
  </si>
  <si>
    <t>Vaihtuvat vastaavat</t>
  </si>
  <si>
    <t>Myyntisaamiset (asukkailta)</t>
  </si>
  <si>
    <t>Rahat ja pankkisaamiset</t>
  </si>
  <si>
    <t>5910</t>
  </si>
  <si>
    <t>Sähkön siirto</t>
  </si>
  <si>
    <t>Vaihtuvat vastaavat yhteensä</t>
  </si>
  <si>
    <t>5920</t>
  </si>
  <si>
    <t>Sähkön myynti</t>
  </si>
  <si>
    <t>Hoitovastikkeet tileittäin</t>
  </si>
  <si>
    <t>VARAT YHTEENSÄ</t>
  </si>
  <si>
    <t>Sähkö yhteensä</t>
  </si>
  <si>
    <t>3000</t>
  </si>
  <si>
    <t>Hoitovastike, asunnot</t>
  </si>
  <si>
    <t>3002</t>
  </si>
  <si>
    <t>Hoitovastike, autokatokset</t>
  </si>
  <si>
    <t>3030</t>
  </si>
  <si>
    <t>Kulutusperusteinen vastike (vesi)</t>
  </si>
  <si>
    <t>JÄTEHUOLTO</t>
  </si>
  <si>
    <t>3050</t>
  </si>
  <si>
    <t>Kaapeli-TV-maksu</t>
  </si>
  <si>
    <t>OMA PÄÄOMA JA VELAT</t>
  </si>
  <si>
    <t>6000</t>
  </si>
  <si>
    <t>Sidottu oma pääoma</t>
  </si>
  <si>
    <t>Osakepääoma</t>
  </si>
  <si>
    <t>Jätehuolto yhteensä</t>
  </si>
  <si>
    <t>Hoitovastikkeet yhteensä</t>
  </si>
  <si>
    <t>Rakennusrahasto</t>
  </si>
  <si>
    <t>Sidottu oma pääoma yhteensä</t>
  </si>
  <si>
    <t>VAHINKOVAKUUTUKSET</t>
  </si>
  <si>
    <t>2023: vain kulutusperusteinen vastike (vesi) eritelty tilitasolla lähteessä – as/autokatos/kaapeli-tv olivat 2023-raportissa yhtenä lukuna. Vihreä = linkki yläpuolella olevaan YHTEENSÄ-riviin.</t>
  </si>
  <si>
    <t>Vapaa oma pääoma</t>
  </si>
  <si>
    <t>6110</t>
  </si>
  <si>
    <t>Kiinteistövakuutus</t>
  </si>
  <si>
    <t>Muut rahastot (“Lainanlyhennysrahasto”)**</t>
  </si>
  <si>
    <t>6115</t>
  </si>
  <si>
    <t>Hoitokate-yhteenveto (tulot - kulut)</t>
  </si>
  <si>
    <t>Kertyneet voittovarat</t>
  </si>
  <si>
    <t>Hallinnonturvavakuutus</t>
  </si>
  <si>
    <t>Vapaa oma pääoma yhteensä</t>
  </si>
  <si>
    <t>Tuotot</t>
  </si>
  <si>
    <t>6150</t>
  </si>
  <si>
    <t>Ryhmätapaturmavakuutus</t>
  </si>
  <si>
    <t>Kulut</t>
  </si>
  <si>
    <t>Hoitokate</t>
  </si>
  <si>
    <t>Hoitokate-%</t>
  </si>
  <si>
    <t>OMA PÄÄOMA YHTEENSÄ</t>
  </si>
  <si>
    <t>6160</t>
  </si>
  <si>
    <t>Oikeusturvavakuutus</t>
  </si>
  <si>
    <t>6180</t>
  </si>
  <si>
    <t>Muut vakuutukset</t>
  </si>
  <si>
    <t>Velat</t>
  </si>
  <si>
    <t>Muut velat (ennakkomaksut osakkailta)</t>
  </si>
  <si>
    <t>Ostovelat</t>
  </si>
  <si>
    <t>Vahinkovakuutukset yhteensä</t>
  </si>
  <si>
    <t>Velat yhteensä</t>
  </si>
  <si>
    <t>OMA PÄÄOMA JA VELAT YHTEENSÄ</t>
  </si>
  <si>
    <t>KIINTEISTÖVERO</t>
  </si>
  <si>
    <t>Täsmäytys (Varat – O.P.+Velat, pitää olla 0)</t>
  </si>
  <si>
    <t>6300</t>
  </si>
  <si>
    <t>Kiinteistövero yhteensä</t>
  </si>
  <si>
    <t>Tunnusluvut</t>
  </si>
  <si>
    <t>Maksuvalmius (vaihtuvat vastaavat / lyh. velat)</t>
  </si>
  <si>
    <t>KORJAUKSET</t>
  </si>
  <si>
    <t>Vihreä teksti = linkki toiselle välilehdelle tai tämän taulukon omaan summariviin.</t>
  </si>
  <si>
    <t>Kassa kuukausina hoitokuluja</t>
  </si>
  <si>
    <t>6446</t>
  </si>
  <si>
    <t>Viheraluekorjaukset</t>
  </si>
  <si>
    <t>6462</t>
  </si>
  <si>
    <t>Ikkunoiden ja ovien korjaus</t>
  </si>
  <si>
    <t>Korollinen vieras pääoma</t>
  </si>
  <si>
    <t>Ei lainaa</t>
  </si>
  <si>
    <t>6465</t>
  </si>
  <si>
    <t>Ulkop. rakent. lukostokorj.</t>
  </si>
  <si>
    <t>* Rakennuksen kirjanpitoarvo perustuu verotuksen maksimipoistoihin (n. 0,05 %/v), ei todellista kuntoa tai jäljellä olevaa käyttöikää. Fyysinen elinkaari on Rakennusosat-välilehdellä, ei tässä.</t>
  </si>
  <si>
    <t>** Nimestä huolimatta kirjattu vapaaksi omaksi pääomaksi, ei sidotuksi – periaatteessa vapaammin käytettävissä esim. tulevien korjausten rahoitukseen kuin nimi antaa ymmärtää.</t>
  </si>
  <si>
    <t>6475</t>
  </si>
  <si>
    <t>Sisäpuol.lukostokorj.</t>
  </si>
  <si>
    <t>2024: ulko-ovien lukkojen uusiminen</t>
  </si>
  <si>
    <t>6476</t>
  </si>
  <si>
    <t>Väestönsuojatilojen korjaus</t>
  </si>
  <si>
    <t>6530</t>
  </si>
  <si>
    <t>LVI-järjestelmien korjaus</t>
  </si>
  <si>
    <t>6532</t>
  </si>
  <si>
    <t>Vesi- ja viemärijärjest. korj.</t>
  </si>
  <si>
    <t>6533</t>
  </si>
  <si>
    <t>Ilmastointijärjest. korjaus</t>
  </si>
  <si>
    <t>6550</t>
  </si>
  <si>
    <t>Sähköjärjestelmien korj.</t>
  </si>
  <si>
    <t>Varaston ovenpielten korjaus</t>
  </si>
  <si>
    <t>2023: kertaluonteinen, ei tilinumeroa toimintakertomuksen tekstiosassa</t>
  </si>
  <si>
    <t>6430</t>
  </si>
  <si>
    <t>Kiinteistökorjaukset</t>
  </si>
  <si>
    <t>Yleisvaraus 2026: budjetissa yksi rivi, ei vielä kohdistettu tiettyyn projektiin</t>
  </si>
  <si>
    <t>Korjaukset yhteensä</t>
  </si>
  <si>
    <t>KIINTEISTÖN HOITOKULUT YHTEENSÄ</t>
  </si>
  <si>
    <t>2023: täysi tilitason erittely vain Henkilöstökuluille, Jätehuollolle, Kiinteistöverolle (yksitiliset ryhmät) ja Korjauksille (täsmäytetty toimintakertomuksen tekstiosaan senteilleen). Muiden ryhmien 2023-summarivi (vihreä) on linkki Kulut-välilehden ryhmätason totaaliin, koska 2023-raportissa ei ollut niille tilitason erittelyä.</t>
  </si>
  <si>
    <t>Budjettitarkkuus – miten budjetti on osunut</t>
  </si>
  <si>
    <t>Erotus = Toteuma − Budjetti. Positiivinen = ylitys (kulut: huono; tulot: hyvä), negatiivinen = alitus. Vihreä = linkki Kulut/Tulot-välilehdelle. Arvio 2023 on rekonstruoitu OCR-kuvasta, täsmäytetty Hoitokate-kaavalla senttiin.</t>
  </si>
  <si>
    <t>KULUT</t>
  </si>
  <si>
    <t>Erotus 2023 €</t>
  </si>
  <si>
    <t>Erotus 2023 %</t>
  </si>
  <si>
    <t>Erotus 2024 €</t>
  </si>
  <si>
    <t>Erotus 2024 %</t>
  </si>
  <si>
    <t>Erotus 2025 €</t>
  </si>
  <si>
    <t>Erotus 2025 %</t>
  </si>
  <si>
    <t>Pieni euro-määrä, isot %-poikkeamat eivät merkitse paljoa</t>
  </si>
  <si>
    <t>Ylittää kaikkina kolmena vuotena – budjetti ei huomioi yllätyshuoltokuluja</t>
  </si>
  <si>
    <t>Vaihteleva: 2023 ylitti, 2024–2025 alittivat isosti (~-45 %) – ei yksiselitteistä trendiä</t>
  </si>
  <si>
    <t>Alittaa lievästi joka vuosi – budjetoitu johdonmukaisesti hieman yläkanttiin</t>
  </si>
  <si>
    <t>Osuu erittäin tarkasti kaikkina kolmena vuotena – täysin ennustettava kuluerä</t>
  </si>
  <si>
    <t>Alittaa merkittävästi joka vuosi (keskim. n. -48 %) – selvästi konservatiivinen budjetointi tai korjaukset lykkääntyvät systemaattisesti</t>
  </si>
  <si>
    <t>Keskim. itseisarvopoikkeama (kategorioittain)</t>
  </si>
  <si>
    <t>Tarkkuus on heikentynyt vuosi vuodelta (2023: n. 14 %, 2024: n. 25 %) – 2025:n 37 %:a nostaa yksin Käyttö- ja huoltopalveluiden 247 %:n poikkeama (palovaroitinasennus); ilman sitä 2025 olisi osunut selvästi tarkemmin.</t>
  </si>
  <si>
    <t>TULOT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</si>
</sst>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&quot; €&quot;;\-#,##0.00&quot; €&quot;"/>
    <numFmt numFmtId="165" formatCode="0.0%"/>
    <numFmt numFmtId="166" formatCode="#,##0&quot; €&quot;;\-#,##0&quot; €&quot;"/>
    <numFmt numFmtId="167" formatCode="0.00\x"/>
    <numFmt numFmtId="168" formatCode="0.0&quot; kk&quot;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0000"/>
      <name val="Arial"/>
    </font>
    <font>
      <i/>
      <sz val="10.0"/>
      <color rgb="FF595959"/>
      <name val="Arial"/>
    </font>
    <font>
      <b/>
      <sz val="11.0"/>
      <color rgb="FF000000"/>
      <name val="Arial"/>
    </font>
    <font>
      <sz val="11.0"/>
      <color rgb="FF0000FF"/>
      <name val="Arial"/>
    </font>
    <font>
      <sz val="11.0"/>
      <color rgb="FF000000"/>
      <name val="Arial"/>
    </font>
    <font>
      <b/>
      <sz val="11.0"/>
      <color rgb="FFFFFFFF"/>
      <name val="Arial"/>
    </font>
    <font>
      <sz val="11.0"/>
      <color rgb="FF008000"/>
      <name val="Arial"/>
    </font>
    <font>
      <i/>
      <sz val="9.0"/>
      <color rgb="FF595959"/>
      <name val="Arial"/>
    </font>
    <font/>
    <font>
      <b/>
      <sz val="11.0"/>
      <color rgb="FFC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203864"/>
        <bgColor rgb="FF203864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4B183"/>
        <bgColor rgb="FFF4B183"/>
      </patternFill>
    </fill>
    <fill>
      <patternFill patternType="solid">
        <fgColor rgb="FFB4C6E7"/>
        <bgColor rgb="FFB4C6E7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top" wrapText="1"/>
    </xf>
    <xf borderId="1" fillId="0" fontId="2" numFmtId="0" xfId="0" applyAlignment="1" applyBorder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horizontal="center" shrinkToFit="0" vertical="top" wrapText="1"/>
    </xf>
    <xf borderId="2" fillId="4" fontId="1" numFmtId="0" xfId="0" applyAlignment="1" applyBorder="1" applyFill="1" applyFont="1">
      <alignment shrinkToFit="0" vertical="bottom" wrapText="0"/>
    </xf>
    <xf borderId="2" fillId="5" fontId="1" numFmtId="0" xfId="0" applyAlignment="1" applyBorder="1" applyFill="1" applyFont="1">
      <alignment shrinkToFit="0" vertical="bottom" wrapText="0"/>
    </xf>
    <xf borderId="1" fillId="0" fontId="8" numFmtId="164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top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horizontal="center" shrinkToFit="0" vertical="top" wrapText="0"/>
    </xf>
    <xf borderId="1" fillId="5" fontId="5" numFmtId="164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shrinkToFit="0" vertical="top" wrapText="1"/>
    </xf>
    <xf borderId="1" fillId="0" fontId="6" numFmtId="164" xfId="0" applyAlignment="1" applyBorder="1" applyFont="1" applyNumberFormat="1">
      <alignment shrinkToFit="0" vertical="bottom" wrapText="0"/>
    </xf>
    <xf borderId="1" fillId="0" fontId="6" numFmtId="165" xfId="0" applyAlignment="1" applyBorder="1" applyFont="1" applyNumberFormat="1">
      <alignment shrinkToFit="0" vertical="bottom" wrapText="0"/>
    </xf>
    <xf borderId="1" fillId="5" fontId="5" numFmtId="0" xfId="0" applyAlignment="1" applyBorder="1" applyFont="1">
      <alignment shrinkToFit="0" vertical="top" wrapText="1"/>
    </xf>
    <xf borderId="1" fillId="5" fontId="5" numFmtId="0" xfId="0" applyAlignment="1" applyBorder="1" applyFont="1">
      <alignment horizontal="center" shrinkToFit="0" vertical="top" wrapText="0"/>
    </xf>
    <xf borderId="1" fillId="6" fontId="4" numFmtId="0" xfId="0" applyAlignment="1" applyBorder="1" applyFill="1" applyFont="1">
      <alignment shrinkToFit="0" vertical="bottom" wrapText="0"/>
    </xf>
    <xf borderId="1" fillId="5" fontId="6" numFmtId="0" xfId="0" applyAlignment="1" applyBorder="1" applyFont="1">
      <alignment shrinkToFit="0" vertical="top" wrapText="1"/>
    </xf>
    <xf borderId="1" fillId="6" fontId="4" numFmtId="164" xfId="0" applyAlignment="1" applyBorder="1" applyFont="1" applyNumberFormat="1">
      <alignment shrinkToFit="0" vertical="bottom" wrapText="0"/>
    </xf>
    <xf borderId="1" fillId="6" fontId="1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6" fontId="4" numFmtId="165" xfId="0" applyAlignment="1" applyBorder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3" fillId="0" fontId="9" numFmtId="0" xfId="0" applyAlignment="1" applyBorder="1" applyFont="1">
      <alignment shrinkToFit="0" vertical="top" wrapText="1"/>
    </xf>
    <xf borderId="4" fillId="0" fontId="10" numFmtId="0" xfId="0" applyBorder="1" applyFont="1"/>
    <xf borderId="5" fillId="0" fontId="1" numFmtId="0" xfId="0" applyAlignment="1" applyBorder="1" applyFont="1">
      <alignment shrinkToFit="0" vertical="bottom" wrapText="0"/>
    </xf>
    <xf borderId="1" fillId="4" fontId="5" numFmtId="164" xfId="0" applyAlignment="1" applyBorder="1" applyFont="1" applyNumberFormat="1">
      <alignment shrinkToFit="0" vertical="bottom" wrapText="0"/>
    </xf>
    <xf borderId="1" fillId="0" fontId="6" numFmtId="166" xfId="0" applyAlignment="1" applyBorder="1" applyFont="1" applyNumberFormat="1">
      <alignment shrinkToFit="0" vertical="bottom" wrapText="0"/>
    </xf>
    <xf borderId="1" fillId="6" fontId="4" numFmtId="0" xfId="0" applyAlignment="1" applyBorder="1" applyFont="1">
      <alignment horizontal="center" shrinkToFit="0" vertical="top" wrapText="0"/>
    </xf>
    <xf borderId="1" fillId="6" fontId="4" numFmtId="166" xfId="0" applyAlignment="1" applyBorder="1" applyFont="1" applyNumberFormat="1">
      <alignment shrinkToFit="0" vertical="bottom" wrapText="0"/>
    </xf>
    <xf borderId="1" fillId="0" fontId="4" numFmtId="166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1" fillId="0" fontId="8" numFmtId="166" xfId="0" applyAlignment="1" applyBorder="1" applyFont="1" applyNumberFormat="1">
      <alignment shrinkToFit="0" vertical="bottom" wrapText="0"/>
    </xf>
    <xf borderId="1" fillId="4" fontId="5" numFmtId="166" xfId="0" applyAlignment="1" applyBorder="1" applyFont="1" applyNumberFormat="1">
      <alignment shrinkToFit="0" vertical="bottom" wrapText="0"/>
    </xf>
    <xf borderId="1" fillId="7" fontId="6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8" fontId="6" numFmtId="0" xfId="0" applyAlignment="1" applyBorder="1" applyFill="1" applyFont="1">
      <alignment shrinkToFit="0" vertical="bottom" wrapText="0"/>
    </xf>
    <xf borderId="1" fillId="5" fontId="6" numFmtId="0" xfId="0" applyAlignment="1" applyBorder="1" applyFont="1">
      <alignment shrinkToFit="0" vertical="bottom" wrapText="0"/>
    </xf>
    <xf borderId="1" fillId="3" fontId="7" numFmtId="0" xfId="0" applyAlignment="1" applyBorder="1" applyFont="1">
      <alignment horizontal="center" shrinkToFit="0" vertical="top" wrapText="0"/>
    </xf>
    <xf borderId="1" fillId="7" fontId="6" numFmtId="0" xfId="0" applyAlignment="1" applyBorder="1" applyFont="1">
      <alignment horizontal="center" shrinkToFit="0" vertical="top" wrapText="0"/>
    </xf>
    <xf borderId="1" fillId="9" fontId="6" numFmtId="166" xfId="0" applyAlignment="1" applyBorder="1" applyFill="1" applyFont="1" applyNumberFormat="1">
      <alignment shrinkToFit="0" vertical="bottom" wrapText="0"/>
    </xf>
    <xf borderId="1" fillId="8" fontId="6" numFmtId="0" xfId="0" applyAlignment="1" applyBorder="1" applyFont="1">
      <alignment horizontal="center" shrinkToFit="0" vertical="top" wrapText="0"/>
    </xf>
    <xf borderId="1" fillId="5" fontId="6" numFmtId="0" xfId="0" applyAlignment="1" applyBorder="1" applyFont="1">
      <alignment horizontal="center" shrinkToFit="0" vertical="top" wrapText="0"/>
    </xf>
    <xf borderId="1" fillId="0" fontId="5" numFmtId="166" xfId="0" applyAlignment="1" applyBorder="1" applyFont="1" applyNumberFormat="1">
      <alignment shrinkToFit="0" vertical="bottom" wrapText="0"/>
    </xf>
    <xf borderId="1" fillId="10" fontId="4" numFmtId="0" xfId="0" applyAlignment="1" applyBorder="1" applyFill="1" applyFont="1">
      <alignment shrinkToFit="0" vertical="bottom" wrapText="0"/>
    </xf>
    <xf borderId="1" fillId="10" fontId="1" numFmtId="0" xfId="0" applyAlignment="1" applyBorder="1" applyFont="1">
      <alignment shrinkToFit="0" vertical="bottom" wrapText="0"/>
    </xf>
    <xf borderId="1" fillId="10" fontId="4" numFmtId="166" xfId="0" applyAlignment="1" applyBorder="1" applyFont="1" applyNumberFormat="1">
      <alignment shrinkToFit="0" vertical="bottom" wrapText="0"/>
    </xf>
    <xf borderId="1" fillId="11" fontId="4" numFmtId="0" xfId="0" applyAlignment="1" applyBorder="1" applyFill="1" applyFont="1">
      <alignment shrinkToFit="0" vertical="bottom" wrapText="0"/>
    </xf>
    <xf borderId="1" fillId="11" fontId="1" numFmtId="0" xfId="0" applyAlignment="1" applyBorder="1" applyFont="1">
      <alignment shrinkToFit="0" vertical="bottom" wrapText="0"/>
    </xf>
    <xf borderId="1" fillId="11" fontId="4" numFmtId="166" xfId="0" applyAlignment="1" applyBorder="1" applyFont="1" applyNumberFormat="1">
      <alignment shrinkToFit="0" vertical="bottom" wrapText="0"/>
    </xf>
    <xf borderId="1" fillId="12" fontId="4" numFmtId="0" xfId="0" applyAlignment="1" applyBorder="1" applyFill="1" applyFont="1">
      <alignment shrinkToFit="0" vertical="bottom" wrapText="0"/>
    </xf>
    <xf borderId="1" fillId="12" fontId="1" numFmtId="0" xfId="0" applyAlignment="1" applyBorder="1" applyFont="1">
      <alignment shrinkToFit="0" vertical="bottom" wrapText="0"/>
    </xf>
    <xf borderId="1" fillId="12" fontId="4" numFmtId="166" xfId="0" applyAlignment="1" applyBorder="1" applyFont="1" applyNumberFormat="1">
      <alignment shrinkToFit="0" vertical="bottom" wrapText="0"/>
    </xf>
    <xf borderId="1" fillId="10" fontId="6" numFmtId="166" xfId="0" applyAlignment="1" applyBorder="1" applyFont="1" applyNumberFormat="1">
      <alignment shrinkToFit="0" vertical="bottom" wrapText="0"/>
    </xf>
    <xf borderId="1" fillId="11" fontId="6" numFmtId="166" xfId="0" applyAlignment="1" applyBorder="1" applyFont="1" applyNumberFormat="1">
      <alignment shrinkToFit="0" vertical="bottom" wrapText="0"/>
    </xf>
    <xf borderId="1" fillId="12" fontId="6" numFmtId="166" xfId="0" applyAlignment="1" applyBorder="1" applyFont="1" applyNumberFormat="1">
      <alignment shrinkToFit="0" vertical="bottom" wrapText="0"/>
    </xf>
    <xf borderId="1" fillId="0" fontId="11" numFmtId="0" xfId="0" applyAlignment="1" applyBorder="1" applyFont="1">
      <alignment horizontal="center" shrinkToFit="0" vertical="top" wrapText="0"/>
    </xf>
    <xf borderId="1" fillId="6" fontId="8" numFmtId="164" xfId="0" applyAlignment="1" applyBorder="1" applyFont="1" applyNumberFormat="1">
      <alignment shrinkToFit="0" vertical="bottom" wrapText="0"/>
    </xf>
    <xf borderId="1" fillId="13" fontId="4" numFmtId="0" xfId="0" applyAlignment="1" applyBorder="1" applyFill="1" applyFont="1">
      <alignment shrinkToFit="0" vertical="bottom" wrapText="0"/>
    </xf>
    <xf borderId="1" fillId="13" fontId="4" numFmtId="164" xfId="0" applyAlignment="1" applyBorder="1" applyFont="1" applyNumberForma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1" fillId="2" fontId="4" numFmtId="0" xfId="0" applyAlignment="1" applyBorder="1" applyFont="1">
      <alignment horizontal="center" shrinkToFit="0" vertical="top" wrapText="0"/>
    </xf>
    <xf borderId="1" fillId="0" fontId="6" numFmtId="167" xfId="0" applyAlignment="1" applyBorder="1" applyFont="1" applyNumberFormat="1">
      <alignment shrinkToFit="0" vertical="bottom" wrapText="0"/>
    </xf>
    <xf borderId="1" fillId="0" fontId="8" numFmtId="168" xfId="0" applyAlignment="1" applyBorder="1" applyFont="1" applyNumberFormat="1">
      <alignment shrinkToFit="0" vertical="bottom" wrapText="0"/>
    </xf>
    <xf borderId="1" fillId="13" fontId="1" numFmtId="0" xfId="0" applyAlignment="1" applyBorder="1" applyFont="1">
      <alignment shrinkToFit="0" vertical="bottom" wrapText="0"/>
    </xf>
    <xf borderId="1" fillId="7" fontId="6" numFmtId="0" xfId="0" applyAlignment="1" applyBorder="1" applyFont="1">
      <alignment shrinkToFit="0" vertical="top" wrapText="1"/>
    </xf>
    <xf borderId="0" fillId="0" fontId="9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/>
    </row>
    <row r="2" ht="17.25" customHeight="1">
      <c r="A2" s="2" t="s">
        <v>1</v>
      </c>
    </row>
    <row r="3">
      <c r="A3" s="1"/>
    </row>
    <row r="4" ht="15.0" customHeight="1">
      <c r="A4" s="3" t="s">
        <v>2</v>
      </c>
    </row>
    <row r="5">
      <c r="A5" s="1"/>
    </row>
    <row r="6" ht="15.0" customHeight="1">
      <c r="A6" s="4" t="s">
        <v>3</v>
      </c>
    </row>
    <row r="7" ht="41.25" customHeight="1">
      <c r="A7" s="5" t="s">
        <v>4</v>
      </c>
    </row>
    <row r="8">
      <c r="A8" s="1"/>
    </row>
    <row r="9" ht="15.0" customHeight="1">
      <c r="A9" s="4" t="s">
        <v>6</v>
      </c>
    </row>
    <row r="10" ht="54.75" customHeight="1">
      <c r="A10" s="5" t="s">
        <v>7</v>
      </c>
    </row>
    <row r="11">
      <c r="A11" s="1"/>
    </row>
    <row r="12" ht="15.0" customHeight="1">
      <c r="A12" s="4" t="s">
        <v>10</v>
      </c>
    </row>
    <row r="13" ht="15.0" customHeight="1">
      <c r="A13" s="11" t="s">
        <v>11</v>
      </c>
    </row>
    <row r="14" ht="15.0" customHeight="1">
      <c r="A14" s="13" t="s">
        <v>16</v>
      </c>
    </row>
    <row r="15" ht="15.0" customHeight="1">
      <c r="A15" s="15" t="s">
        <v>18</v>
      </c>
    </row>
    <row r="16" ht="15.0" customHeight="1">
      <c r="A16" s="16" t="s">
        <v>23</v>
      </c>
    </row>
    <row r="17">
      <c r="A17" s="1"/>
    </row>
    <row r="18" ht="15.0" customHeight="1">
      <c r="A18" s="4" t="s">
        <v>30</v>
      </c>
    </row>
    <row r="19" ht="54.75" customHeight="1">
      <c r="A19" s="5" t="s">
        <v>34</v>
      </c>
    </row>
    <row r="20">
      <c r="A20" s="1"/>
    </row>
    <row r="21" ht="15.0" customHeight="1">
      <c r="A21" s="4" t="s">
        <v>38</v>
      </c>
    </row>
    <row r="22" ht="27.75" customHeight="1">
      <c r="A22" s="5" t="s">
        <v>43</v>
      </c>
    </row>
    <row r="23" ht="27.75" customHeight="1">
      <c r="A23" s="5" t="s">
        <v>46</v>
      </c>
    </row>
    <row r="24" ht="27.75" customHeight="1">
      <c r="A24" s="5" t="s">
        <v>48</v>
      </c>
    </row>
    <row r="25" ht="15.75" customHeight="1">
      <c r="A25" s="1"/>
    </row>
    <row r="26" ht="15.0" customHeight="1">
      <c r="A26" s="4" t="s">
        <v>51</v>
      </c>
    </row>
    <row r="27" ht="41.25" customHeight="1">
      <c r="A27" s="5" t="s">
        <v>54</v>
      </c>
    </row>
    <row r="28" ht="15.75" customHeight="1">
      <c r="A28" s="1"/>
    </row>
    <row r="29" ht="15.0" customHeight="1">
      <c r="A29" s="4" t="s">
        <v>56</v>
      </c>
    </row>
    <row r="30" ht="54.75" customHeight="1">
      <c r="A30" s="5" t="s">
        <v>58</v>
      </c>
    </row>
    <row r="31" ht="15.75" customHeight="1">
      <c r="A31" s="1"/>
    </row>
    <row r="32" ht="15.0" customHeight="1">
      <c r="A32" s="4" t="s">
        <v>59</v>
      </c>
    </row>
    <row r="33" ht="27.75" customHeight="1">
      <c r="A33" s="5" t="s">
        <v>61</v>
      </c>
    </row>
    <row r="34" ht="41.25" customHeight="1">
      <c r="A34" s="5" t="s">
        <v>63</v>
      </c>
    </row>
    <row r="35" ht="15.75" customHeight="1">
      <c r="A35" s="1"/>
    </row>
    <row r="36" ht="15.0" customHeight="1">
      <c r="A36" s="4" t="s">
        <v>66</v>
      </c>
    </row>
    <row r="37" ht="68.25" customHeight="1">
      <c r="A37" s="5" t="s">
        <v>67</v>
      </c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9" width="14.0"/>
    <col customWidth="1" min="10" max="10" width="12.0"/>
    <col customWidth="1" min="11" max="11" width="34.0"/>
    <col customWidth="1" min="12" max="13" width="14.0"/>
    <col customWidth="1" min="14" max="26" width="8.71"/>
  </cols>
  <sheetData>
    <row r="1" ht="17.25" customHeight="1">
      <c r="A1" s="2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0" customHeight="1">
      <c r="A2" s="8" t="s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31.5" customHeight="1">
      <c r="A4" s="14" t="s">
        <v>17</v>
      </c>
      <c r="B4" s="14" t="s">
        <v>19</v>
      </c>
      <c r="C4" s="14" t="s">
        <v>20</v>
      </c>
      <c r="D4" s="14" t="s">
        <v>22</v>
      </c>
      <c r="E4" s="14" t="s">
        <v>25</v>
      </c>
      <c r="F4" s="14" t="s">
        <v>27</v>
      </c>
      <c r="G4" s="14" t="s">
        <v>29</v>
      </c>
      <c r="H4" s="14" t="s">
        <v>32</v>
      </c>
      <c r="I4" s="14" t="s">
        <v>33</v>
      </c>
      <c r="J4" s="14" t="s">
        <v>36</v>
      </c>
      <c r="K4" s="14" t="s">
        <v>37</v>
      </c>
      <c r="L4" s="14" t="s">
        <v>40</v>
      </c>
      <c r="M4" s="14" t="s">
        <v>41</v>
      </c>
    </row>
    <row r="5" ht="15.0" customHeight="1">
      <c r="A5" s="18" t="s">
        <v>45</v>
      </c>
      <c r="B5" s="19" t="s">
        <v>49</v>
      </c>
      <c r="C5" s="19" t="s">
        <v>53</v>
      </c>
      <c r="D5" s="20">
        <v>360.0</v>
      </c>
      <c r="E5" s="20">
        <v>600.0</v>
      </c>
      <c r="F5" s="20">
        <v>600.0</v>
      </c>
      <c r="G5" s="20">
        <v>600.0</v>
      </c>
      <c r="H5" s="20">
        <v>600.0</v>
      </c>
      <c r="I5" s="24">
        <f t="shared" ref="I5:I15" si="1">G5-F5</f>
        <v>0</v>
      </c>
      <c r="J5" s="25">
        <f t="shared" ref="J5:J15" si="2">IFERROR((F5-E5)/E5,"")</f>
        <v>0</v>
      </c>
      <c r="K5" s="23"/>
      <c r="L5" s="20">
        <v>360.0</v>
      </c>
      <c r="M5" s="20">
        <v>480.0</v>
      </c>
    </row>
    <row r="6" ht="26.25" customHeight="1">
      <c r="A6" s="18" t="s">
        <v>74</v>
      </c>
      <c r="B6" s="19" t="s">
        <v>49</v>
      </c>
      <c r="C6" s="19" t="s">
        <v>53</v>
      </c>
      <c r="D6" s="20">
        <v>8003.7</v>
      </c>
      <c r="E6" s="20">
        <v>7885.63</v>
      </c>
      <c r="F6" s="20">
        <v>7360.76</v>
      </c>
      <c r="G6" s="20">
        <v>7719.32</v>
      </c>
      <c r="H6" s="20">
        <v>7972.32</v>
      </c>
      <c r="I6" s="24">
        <f t="shared" si="1"/>
        <v>358.56</v>
      </c>
      <c r="J6" s="25">
        <f t="shared" si="2"/>
        <v>-0.06656031287</v>
      </c>
      <c r="K6" s="23" t="s">
        <v>79</v>
      </c>
      <c r="L6" s="20">
        <v>7015.0</v>
      </c>
      <c r="M6" s="20">
        <v>7243.96</v>
      </c>
    </row>
    <row r="7" ht="26.25" customHeight="1">
      <c r="A7" s="18" t="s">
        <v>80</v>
      </c>
      <c r="B7" s="19" t="s">
        <v>49</v>
      </c>
      <c r="C7" s="19" t="s">
        <v>81</v>
      </c>
      <c r="D7" s="20">
        <v>1975.41</v>
      </c>
      <c r="E7" s="20">
        <v>1450.42</v>
      </c>
      <c r="F7" s="20">
        <v>4624.34</v>
      </c>
      <c r="G7" s="20">
        <v>1332.0</v>
      </c>
      <c r="H7" s="20">
        <v>3232.0</v>
      </c>
      <c r="I7" s="24">
        <f t="shared" si="1"/>
        <v>-3292.34</v>
      </c>
      <c r="J7" s="25">
        <f t="shared" si="2"/>
        <v>2.188276499</v>
      </c>
      <c r="K7" s="23" t="s">
        <v>85</v>
      </c>
      <c r="L7" s="20">
        <v>1324.0</v>
      </c>
      <c r="M7" s="20">
        <v>1916.66</v>
      </c>
    </row>
    <row r="8" ht="15.0" customHeight="1">
      <c r="A8" s="18" t="s">
        <v>90</v>
      </c>
      <c r="B8" s="19" t="s">
        <v>49</v>
      </c>
      <c r="C8" s="19" t="s">
        <v>53</v>
      </c>
      <c r="D8" s="20">
        <v>3784.22</v>
      </c>
      <c r="E8" s="20">
        <v>2186.5</v>
      </c>
      <c r="F8" s="20">
        <v>2193.69</v>
      </c>
      <c r="G8" s="20">
        <v>4000.0</v>
      </c>
      <c r="H8" s="20">
        <v>2300.0</v>
      </c>
      <c r="I8" s="24">
        <f t="shared" si="1"/>
        <v>1806.31</v>
      </c>
      <c r="J8" s="25">
        <f t="shared" si="2"/>
        <v>0.003288360393</v>
      </c>
      <c r="K8" s="23"/>
      <c r="L8" s="20">
        <v>4000.0</v>
      </c>
      <c r="M8" s="20">
        <v>3300.0</v>
      </c>
    </row>
    <row r="9" ht="26.25" customHeight="1">
      <c r="A9" s="18" t="s">
        <v>97</v>
      </c>
      <c r="B9" s="19" t="s">
        <v>49</v>
      </c>
      <c r="C9" s="19" t="s">
        <v>98</v>
      </c>
      <c r="D9" s="20">
        <v>4995.73</v>
      </c>
      <c r="E9" s="20">
        <v>6784.9</v>
      </c>
      <c r="F9" s="20">
        <v>7067.26</v>
      </c>
      <c r="G9" s="20">
        <v>7270.0</v>
      </c>
      <c r="H9" s="20">
        <v>7270.0</v>
      </c>
      <c r="I9" s="24">
        <f t="shared" si="1"/>
        <v>202.74</v>
      </c>
      <c r="J9" s="25">
        <f t="shared" si="2"/>
        <v>0.04161594128</v>
      </c>
      <c r="K9" s="23" t="s">
        <v>101</v>
      </c>
      <c r="L9" s="20">
        <v>5270.0</v>
      </c>
      <c r="M9" s="20">
        <v>5240.0</v>
      </c>
    </row>
    <row r="10" ht="15.0" customHeight="1">
      <c r="A10" s="18" t="s">
        <v>102</v>
      </c>
      <c r="B10" s="19" t="s">
        <v>49</v>
      </c>
      <c r="C10" s="19" t="s">
        <v>98</v>
      </c>
      <c r="D10" s="20">
        <v>3070.51</v>
      </c>
      <c r="E10" s="20">
        <v>2624.14</v>
      </c>
      <c r="F10" s="20">
        <v>2552.01</v>
      </c>
      <c r="G10" s="20">
        <v>2860.0</v>
      </c>
      <c r="H10" s="20">
        <v>2750.0</v>
      </c>
      <c r="I10" s="24">
        <f t="shared" si="1"/>
        <v>307.99</v>
      </c>
      <c r="J10" s="25">
        <f t="shared" si="2"/>
        <v>-0.02748710054</v>
      </c>
      <c r="K10" s="23"/>
      <c r="L10" s="20">
        <v>2250.0</v>
      </c>
      <c r="M10" s="20">
        <v>2600.0</v>
      </c>
    </row>
    <row r="11" ht="15.0" customHeight="1">
      <c r="A11" s="18" t="s">
        <v>105</v>
      </c>
      <c r="B11" s="19" t="s">
        <v>49</v>
      </c>
      <c r="C11" s="19" t="s">
        <v>53</v>
      </c>
      <c r="D11" s="20">
        <v>3041.94</v>
      </c>
      <c r="E11" s="20">
        <v>2873.98</v>
      </c>
      <c r="F11" s="20">
        <v>2939.55</v>
      </c>
      <c r="G11" s="20">
        <v>3000.0</v>
      </c>
      <c r="H11" s="20">
        <v>3000.0</v>
      </c>
      <c r="I11" s="24">
        <f t="shared" si="1"/>
        <v>60.45</v>
      </c>
      <c r="J11" s="25">
        <f t="shared" si="2"/>
        <v>0.02281505091</v>
      </c>
      <c r="K11" s="23"/>
      <c r="L11" s="20">
        <v>3200.0</v>
      </c>
      <c r="M11" s="20">
        <v>3300.0</v>
      </c>
    </row>
    <row r="12" ht="15.0" customHeight="1">
      <c r="A12" s="18" t="s">
        <v>110</v>
      </c>
      <c r="B12" s="19" t="s">
        <v>49</v>
      </c>
      <c r="C12" s="19" t="s">
        <v>53</v>
      </c>
      <c r="D12" s="20">
        <v>2809.46</v>
      </c>
      <c r="E12" s="20">
        <v>2147.96</v>
      </c>
      <c r="F12" s="20">
        <v>1878.41</v>
      </c>
      <c r="G12" s="20">
        <v>1874.39</v>
      </c>
      <c r="H12" s="20">
        <v>1909.33</v>
      </c>
      <c r="I12" s="24">
        <f t="shared" si="1"/>
        <v>-4.02</v>
      </c>
      <c r="J12" s="25">
        <f t="shared" si="2"/>
        <v>-0.1254911637</v>
      </c>
      <c r="K12" s="23"/>
      <c r="L12" s="20">
        <v>2916.0</v>
      </c>
      <c r="M12" s="20">
        <v>2630.11</v>
      </c>
    </row>
    <row r="13" ht="15.0" customHeight="1">
      <c r="A13" s="18" t="s">
        <v>113</v>
      </c>
      <c r="B13" s="19" t="s">
        <v>49</v>
      </c>
      <c r="C13" s="19" t="s">
        <v>53</v>
      </c>
      <c r="D13" s="20">
        <v>4845.6</v>
      </c>
      <c r="E13" s="20">
        <v>4859.13</v>
      </c>
      <c r="F13" s="20">
        <v>4813.44</v>
      </c>
      <c r="G13" s="20">
        <v>4880.0</v>
      </c>
      <c r="H13" s="20">
        <v>4756.44</v>
      </c>
      <c r="I13" s="24">
        <f t="shared" si="1"/>
        <v>66.56</v>
      </c>
      <c r="J13" s="25">
        <f t="shared" si="2"/>
        <v>-0.009402917806</v>
      </c>
      <c r="K13" s="23"/>
      <c r="L13" s="20">
        <v>4859.0</v>
      </c>
      <c r="M13" s="20">
        <v>4845.6</v>
      </c>
    </row>
    <row r="14" ht="39.0" customHeight="1">
      <c r="A14" s="18" t="s">
        <v>117</v>
      </c>
      <c r="B14" s="19" t="s">
        <v>118</v>
      </c>
      <c r="C14" s="19" t="s">
        <v>98</v>
      </c>
      <c r="D14" s="20">
        <v>1385.06</v>
      </c>
      <c r="E14" s="20">
        <v>5348.53</v>
      </c>
      <c r="F14" s="20">
        <v>3881.55</v>
      </c>
      <c r="G14" s="20">
        <v>9400.0</v>
      </c>
      <c r="H14" s="20">
        <v>9680.0</v>
      </c>
      <c r="I14" s="24">
        <f t="shared" si="1"/>
        <v>5518.45</v>
      </c>
      <c r="J14" s="25">
        <f t="shared" si="2"/>
        <v>-0.2742772313</v>
      </c>
      <c r="K14" s="23" t="s">
        <v>120</v>
      </c>
      <c r="L14" s="20">
        <v>8000.0</v>
      </c>
      <c r="M14" s="20">
        <v>3000.0</v>
      </c>
    </row>
    <row r="15" ht="15.0" customHeight="1">
      <c r="A15" s="28" t="s">
        <v>122</v>
      </c>
      <c r="B15" s="31"/>
      <c r="C15" s="31"/>
      <c r="D15" s="30">
        <f t="shared" ref="D15:H15" si="3">SUM(D5:D14)</f>
        <v>34271.63</v>
      </c>
      <c r="E15" s="30">
        <f t="shared" si="3"/>
        <v>36761.19</v>
      </c>
      <c r="F15" s="30">
        <f t="shared" si="3"/>
        <v>37911.01</v>
      </c>
      <c r="G15" s="30">
        <f t="shared" si="3"/>
        <v>42935.71</v>
      </c>
      <c r="H15" s="30">
        <f t="shared" si="3"/>
        <v>43470.09</v>
      </c>
      <c r="I15" s="30">
        <f t="shared" si="1"/>
        <v>5024.7</v>
      </c>
      <c r="J15" s="34">
        <f t="shared" si="2"/>
        <v>0.03127809519</v>
      </c>
      <c r="K15" s="31"/>
      <c r="L15" s="30">
        <f t="shared" ref="L15:M15" si="4">SUM(L5:L14)</f>
        <v>39194</v>
      </c>
      <c r="M15" s="30">
        <f t="shared" si="4"/>
        <v>34556.33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ht="15.0" customHeight="1">
      <c r="A18" s="4" t="s">
        <v>132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ht="15.0" customHeight="1">
      <c r="A19" s="1" t="s">
        <v>134</v>
      </c>
      <c r="B19" s="35">
        <f>SUMIF(B5:B14,"Hoito",F5:F14)</f>
        <v>34029.46</v>
      </c>
      <c r="C19" s="36">
        <f>IFERROR(B19/F15,"")</f>
        <v>0.8976141759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5.0" customHeight="1">
      <c r="A20" s="1" t="s">
        <v>138</v>
      </c>
      <c r="B20" s="35">
        <f>SUMIF(B5:B14,"Korjaus",F5:F14)</f>
        <v>3881.55</v>
      </c>
      <c r="C20" s="36">
        <f>IFERROR(B20/F15,"")</f>
        <v>0.1023858241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15.0" customHeight="1">
      <c r="A22" s="4" t="s">
        <v>142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0" customHeight="1">
      <c r="A23" s="1" t="s">
        <v>143</v>
      </c>
      <c r="B23" s="35">
        <f>SUMIF(C5:C14,"Kiinteä",F5:F14)</f>
        <v>19785.85</v>
      </c>
      <c r="C23" s="36">
        <f>IFERROR(B23/F15,"")</f>
        <v>0.5219024764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5.0" customHeight="1">
      <c r="A24" s="1" t="s">
        <v>144</v>
      </c>
      <c r="B24" s="35">
        <f>SUMIF(C5:C14,"Muuttuva",F5:F14)</f>
        <v>13500.82</v>
      </c>
      <c r="C24" s="36">
        <f>IFERROR(B24/F15,"")</f>
        <v>0.3561187106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.0" customHeight="1">
      <c r="A25" s="1" t="s">
        <v>145</v>
      </c>
      <c r="B25" s="35">
        <f>SUMIF(C5:C14,"Sekä",F5:F14)</f>
        <v>4624.34</v>
      </c>
      <c r="C25" s="36">
        <f>IFERROR(B25/F15,"")</f>
        <v>0.121978813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3" width="17.0"/>
    <col customWidth="1" min="4" max="5" width="11.0"/>
    <col customWidth="1" min="6" max="7" width="13.0"/>
    <col customWidth="1" min="8" max="8" width="32.0"/>
    <col customWidth="1" min="9" max="9" width="20.0"/>
    <col customWidth="1" min="10" max="10" width="36.0"/>
    <col customWidth="1" min="11" max="11" width="20.0"/>
    <col customWidth="1" min="12" max="12" width="16.0"/>
    <col customWidth="1" min="13" max="26" width="8.71"/>
  </cols>
  <sheetData>
    <row r="1" ht="17.25" customHeight="1">
      <c r="A1" s="6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0" customHeight="1">
      <c r="A2" s="10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39.75" customHeight="1">
      <c r="A4" s="14" t="s">
        <v>21</v>
      </c>
      <c r="B4" s="14" t="s">
        <v>24</v>
      </c>
      <c r="C4" s="14" t="s">
        <v>26</v>
      </c>
      <c r="D4" s="14" t="s">
        <v>28</v>
      </c>
      <c r="E4" s="14" t="s">
        <v>31</v>
      </c>
      <c r="F4" s="14" t="s">
        <v>35</v>
      </c>
      <c r="G4" s="14" t="s">
        <v>39</v>
      </c>
      <c r="H4" s="14" t="s">
        <v>42</v>
      </c>
      <c r="I4" s="14" t="s">
        <v>47</v>
      </c>
      <c r="J4" s="14" t="s">
        <v>37</v>
      </c>
      <c r="K4" s="14" t="s">
        <v>50</v>
      </c>
      <c r="L4" s="14" t="s">
        <v>52</v>
      </c>
    </row>
    <row r="5" ht="15.0" customHeight="1">
      <c r="A5" s="18" t="s">
        <v>55</v>
      </c>
      <c r="B5" s="21">
        <v>2012.0</v>
      </c>
      <c r="C5" s="19" t="s">
        <v>62</v>
      </c>
      <c r="D5" s="21">
        <v>20.0</v>
      </c>
      <c r="E5" s="21">
        <v>20.0</v>
      </c>
      <c r="F5" s="19">
        <f t="shared" ref="F5:F17" si="1">B5+D5</f>
        <v>2032</v>
      </c>
      <c r="G5" s="19">
        <f t="shared" ref="G5:G17" si="2">B5+E5</f>
        <v>2032</v>
      </c>
      <c r="H5" s="23" t="s">
        <v>72</v>
      </c>
      <c r="I5" s="19" t="s">
        <v>73</v>
      </c>
      <c r="J5" s="23"/>
      <c r="K5" s="26"/>
      <c r="L5" s="19" t="s">
        <v>75</v>
      </c>
    </row>
    <row r="6" ht="39.0" customHeight="1">
      <c r="A6" s="18" t="s">
        <v>76</v>
      </c>
      <c r="B6" s="21">
        <v>2015.0</v>
      </c>
      <c r="C6" s="19" t="s">
        <v>77</v>
      </c>
      <c r="D6" s="27">
        <v>10.0</v>
      </c>
      <c r="E6" s="27">
        <v>15.0</v>
      </c>
      <c r="F6" s="19">
        <f t="shared" si="1"/>
        <v>2025</v>
      </c>
      <c r="G6" s="19">
        <f t="shared" si="2"/>
        <v>2030</v>
      </c>
      <c r="H6" s="23" t="s">
        <v>82</v>
      </c>
      <c r="I6" s="19" t="s">
        <v>83</v>
      </c>
      <c r="J6" s="29" t="s">
        <v>84</v>
      </c>
      <c r="K6" s="26"/>
      <c r="L6" s="19" t="s">
        <v>75</v>
      </c>
    </row>
    <row r="7" ht="39.0" customHeight="1">
      <c r="A7" s="18" t="s">
        <v>86</v>
      </c>
      <c r="B7" s="21">
        <v>2016.0</v>
      </c>
      <c r="C7" s="19" t="s">
        <v>87</v>
      </c>
      <c r="D7" s="27">
        <v>5.0</v>
      </c>
      <c r="E7" s="27">
        <v>10.0</v>
      </c>
      <c r="F7" s="19">
        <f t="shared" si="1"/>
        <v>2021</v>
      </c>
      <c r="G7" s="19">
        <f t="shared" si="2"/>
        <v>2026</v>
      </c>
      <c r="H7" s="23" t="s">
        <v>91</v>
      </c>
      <c r="I7" s="19" t="s">
        <v>83</v>
      </c>
      <c r="J7" s="29" t="s">
        <v>94</v>
      </c>
      <c r="K7" s="26"/>
      <c r="L7" s="19" t="s">
        <v>75</v>
      </c>
    </row>
    <row r="8" ht="26.25" customHeight="1">
      <c r="A8" s="18" t="s">
        <v>95</v>
      </c>
      <c r="B8" s="21">
        <v>2018.0</v>
      </c>
      <c r="C8" s="19" t="s">
        <v>96</v>
      </c>
      <c r="D8" s="27">
        <v>5.0</v>
      </c>
      <c r="E8" s="27">
        <v>10.0</v>
      </c>
      <c r="F8" s="19">
        <f t="shared" si="1"/>
        <v>2023</v>
      </c>
      <c r="G8" s="19">
        <f t="shared" si="2"/>
        <v>2028</v>
      </c>
      <c r="H8" s="23" t="s">
        <v>91</v>
      </c>
      <c r="I8" s="19" t="s">
        <v>83</v>
      </c>
      <c r="J8" s="29" t="s">
        <v>99</v>
      </c>
      <c r="K8" s="26"/>
      <c r="L8" s="19" t="s">
        <v>75</v>
      </c>
    </row>
    <row r="9" ht="39.0" customHeight="1">
      <c r="A9" s="18" t="s">
        <v>100</v>
      </c>
      <c r="B9" s="21">
        <v>2019.0</v>
      </c>
      <c r="C9" s="19" t="s">
        <v>77</v>
      </c>
      <c r="D9" s="27">
        <v>10.0</v>
      </c>
      <c r="E9" s="27">
        <v>15.0</v>
      </c>
      <c r="F9" s="19">
        <f t="shared" si="1"/>
        <v>2029</v>
      </c>
      <c r="G9" s="19">
        <f t="shared" si="2"/>
        <v>2034</v>
      </c>
      <c r="H9" s="23" t="s">
        <v>104</v>
      </c>
      <c r="I9" s="19" t="s">
        <v>83</v>
      </c>
      <c r="J9" s="29" t="s">
        <v>106</v>
      </c>
      <c r="K9" s="26"/>
      <c r="L9" s="19" t="s">
        <v>75</v>
      </c>
    </row>
    <row r="10" ht="26.25" customHeight="1">
      <c r="A10" s="18" t="s">
        <v>107</v>
      </c>
      <c r="B10" s="21">
        <v>2021.0</v>
      </c>
      <c r="C10" s="19" t="s">
        <v>108</v>
      </c>
      <c r="D10" s="27">
        <v>5.0</v>
      </c>
      <c r="E10" s="27">
        <v>10.0</v>
      </c>
      <c r="F10" s="19">
        <f t="shared" si="1"/>
        <v>2026</v>
      </c>
      <c r="G10" s="19">
        <f t="shared" si="2"/>
        <v>2031</v>
      </c>
      <c r="H10" s="23" t="s">
        <v>91</v>
      </c>
      <c r="I10" s="19" t="s">
        <v>83</v>
      </c>
      <c r="J10" s="29" t="s">
        <v>111</v>
      </c>
      <c r="K10" s="26"/>
      <c r="L10" s="19" t="s">
        <v>75</v>
      </c>
    </row>
    <row r="11" ht="15.0" customHeight="1">
      <c r="A11" s="18" t="s">
        <v>114</v>
      </c>
      <c r="B11" s="21">
        <v>2025.0</v>
      </c>
      <c r="C11" s="19" t="s">
        <v>62</v>
      </c>
      <c r="D11" s="21">
        <v>10.0</v>
      </c>
      <c r="E11" s="21">
        <v>10.0</v>
      </c>
      <c r="F11" s="19">
        <f t="shared" si="1"/>
        <v>2035</v>
      </c>
      <c r="G11" s="19">
        <f t="shared" si="2"/>
        <v>2035</v>
      </c>
      <c r="H11" s="23" t="s">
        <v>72</v>
      </c>
      <c r="I11" s="19" t="s">
        <v>73</v>
      </c>
      <c r="J11" s="23"/>
      <c r="K11" s="26"/>
      <c r="L11" s="19" t="s">
        <v>75</v>
      </c>
    </row>
    <row r="12" ht="26.25" customHeight="1">
      <c r="A12" s="18" t="s">
        <v>121</v>
      </c>
      <c r="B12" s="21">
        <v>2007.0</v>
      </c>
      <c r="C12" s="19" t="s">
        <v>123</v>
      </c>
      <c r="D12" s="21">
        <v>25.0</v>
      </c>
      <c r="E12" s="21">
        <v>50.0</v>
      </c>
      <c r="F12" s="19">
        <f t="shared" si="1"/>
        <v>2032</v>
      </c>
      <c r="G12" s="19">
        <f t="shared" si="2"/>
        <v>2057</v>
      </c>
      <c r="H12" s="23" t="s">
        <v>72</v>
      </c>
      <c r="I12" s="19" t="s">
        <v>73</v>
      </c>
      <c r="J12" s="23" t="s">
        <v>124</v>
      </c>
      <c r="K12" s="26"/>
      <c r="L12" s="19" t="s">
        <v>75</v>
      </c>
    </row>
    <row r="13" ht="64.5" customHeight="1">
      <c r="A13" s="18" t="s">
        <v>125</v>
      </c>
      <c r="B13" s="21">
        <v>2007.0</v>
      </c>
      <c r="C13" s="19" t="s">
        <v>123</v>
      </c>
      <c r="D13" s="27">
        <v>15.0</v>
      </c>
      <c r="E13" s="27">
        <v>25.0</v>
      </c>
      <c r="F13" s="19">
        <f t="shared" si="1"/>
        <v>2022</v>
      </c>
      <c r="G13" s="19">
        <f t="shared" si="2"/>
        <v>2032</v>
      </c>
      <c r="H13" s="23" t="s">
        <v>126</v>
      </c>
      <c r="I13" s="19" t="s">
        <v>83</v>
      </c>
      <c r="J13" s="29" t="s">
        <v>127</v>
      </c>
      <c r="K13" s="26" t="s">
        <v>128</v>
      </c>
      <c r="L13" s="19" t="s">
        <v>129</v>
      </c>
    </row>
    <row r="14" ht="15.0" customHeight="1">
      <c r="A14" s="18" t="s">
        <v>130</v>
      </c>
      <c r="B14" s="21">
        <v>2007.0</v>
      </c>
      <c r="C14" s="19" t="s">
        <v>123</v>
      </c>
      <c r="D14" s="21">
        <v>30.0</v>
      </c>
      <c r="E14" s="21">
        <v>50.0</v>
      </c>
      <c r="F14" s="19">
        <f t="shared" si="1"/>
        <v>2037</v>
      </c>
      <c r="G14" s="19">
        <f t="shared" si="2"/>
        <v>2057</v>
      </c>
      <c r="H14" s="23" t="s">
        <v>72</v>
      </c>
      <c r="I14" s="19" t="s">
        <v>73</v>
      </c>
      <c r="J14" s="23"/>
      <c r="K14" s="26"/>
      <c r="L14" s="19" t="s">
        <v>75</v>
      </c>
    </row>
    <row r="15" ht="26.25" customHeight="1">
      <c r="A15" s="18" t="s">
        <v>131</v>
      </c>
      <c r="B15" s="21">
        <v>2007.0</v>
      </c>
      <c r="C15" s="19" t="s">
        <v>123</v>
      </c>
      <c r="D15" s="21">
        <v>30.0</v>
      </c>
      <c r="E15" s="21">
        <v>50.0</v>
      </c>
      <c r="F15" s="19">
        <f t="shared" si="1"/>
        <v>2037</v>
      </c>
      <c r="G15" s="19">
        <f t="shared" si="2"/>
        <v>2057</v>
      </c>
      <c r="H15" s="23" t="s">
        <v>72</v>
      </c>
      <c r="I15" s="19" t="s">
        <v>73</v>
      </c>
      <c r="J15" s="23" t="s">
        <v>133</v>
      </c>
      <c r="K15" s="26"/>
      <c r="L15" s="19" t="s">
        <v>75</v>
      </c>
    </row>
    <row r="16" ht="15.0" customHeight="1">
      <c r="A16" s="18" t="s">
        <v>135</v>
      </c>
      <c r="B16" s="21">
        <v>2007.0</v>
      </c>
      <c r="C16" s="19" t="s">
        <v>123</v>
      </c>
      <c r="D16" s="21">
        <v>50.0</v>
      </c>
      <c r="E16" s="21">
        <v>60.0</v>
      </c>
      <c r="F16" s="19">
        <f t="shared" si="1"/>
        <v>2057</v>
      </c>
      <c r="G16" s="19">
        <f t="shared" si="2"/>
        <v>2067</v>
      </c>
      <c r="H16" s="23" t="s">
        <v>72</v>
      </c>
      <c r="I16" s="19" t="s">
        <v>73</v>
      </c>
      <c r="J16" s="23" t="s">
        <v>136</v>
      </c>
      <c r="K16" s="26"/>
      <c r="L16" s="19" t="s">
        <v>75</v>
      </c>
    </row>
    <row r="17" ht="39.0" customHeight="1">
      <c r="A17" s="18" t="s">
        <v>137</v>
      </c>
      <c r="B17" s="21">
        <v>2007.0</v>
      </c>
      <c r="C17" s="19" t="s">
        <v>123</v>
      </c>
      <c r="D17" s="27">
        <v>40.0</v>
      </c>
      <c r="E17" s="27">
        <v>60.0</v>
      </c>
      <c r="F17" s="19">
        <f t="shared" si="1"/>
        <v>2047</v>
      </c>
      <c r="G17" s="19">
        <f t="shared" si="2"/>
        <v>2067</v>
      </c>
      <c r="H17" s="23" t="s">
        <v>139</v>
      </c>
      <c r="I17" s="19" t="s">
        <v>83</v>
      </c>
      <c r="J17" s="29" t="s">
        <v>140</v>
      </c>
      <c r="K17" s="26"/>
      <c r="L17" s="19" t="s">
        <v>75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45.0" customHeight="1">
      <c r="A20" s="37" t="s">
        <v>141</v>
      </c>
      <c r="B20" s="38"/>
      <c r="C20" s="38"/>
      <c r="D20" s="38"/>
      <c r="E20" s="38"/>
      <c r="F20" s="38"/>
      <c r="G20" s="38"/>
      <c r="H20" s="38"/>
      <c r="I20" s="38"/>
      <c r="J20" s="38"/>
      <c r="K20" s="37"/>
      <c r="L20" s="39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">
    <mergeCell ref="A20:J2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4" width="14.0"/>
    <col customWidth="1" min="5" max="5" width="30.0"/>
    <col customWidth="1" min="6" max="26" width="8.71"/>
  </cols>
  <sheetData>
    <row r="1" ht="17.25" customHeight="1">
      <c r="A1" s="2" t="s">
        <v>0</v>
      </c>
      <c r="B1" s="1"/>
      <c r="C1" s="1"/>
      <c r="D1" s="1"/>
      <c r="E1" s="1"/>
    </row>
    <row r="2" ht="33.75" customHeight="1">
      <c r="A2" s="3" t="s">
        <v>5</v>
      </c>
      <c r="B2" s="1"/>
      <c r="C2" s="1"/>
      <c r="D2" s="1"/>
      <c r="E2" s="1"/>
    </row>
    <row r="3">
      <c r="A3" s="1"/>
      <c r="B3" s="1"/>
      <c r="C3" s="1"/>
      <c r="D3" s="1"/>
      <c r="E3" s="1"/>
    </row>
    <row r="4" ht="15.0" customHeight="1">
      <c r="A4" s="7" t="s">
        <v>12</v>
      </c>
      <c r="B4" s="9"/>
      <c r="C4" s="9"/>
      <c r="D4" s="9"/>
      <c r="E4" s="9"/>
    </row>
    <row r="5" ht="15.0" customHeight="1">
      <c r="A5" s="12" t="s">
        <v>15</v>
      </c>
      <c r="B5" s="17">
        <f>'Taloudellinen asema'!C14</f>
        <v>22208.49</v>
      </c>
      <c r="C5" s="1"/>
      <c r="D5" s="1"/>
      <c r="E5" s="1"/>
    </row>
    <row r="6" ht="15.0" customHeight="1">
      <c r="A6" s="12" t="s">
        <v>44</v>
      </c>
      <c r="B6" s="17">
        <f>Kulut!H14</f>
        <v>9680</v>
      </c>
      <c r="C6" s="1"/>
      <c r="D6" s="1"/>
      <c r="E6" s="1"/>
    </row>
    <row r="7">
      <c r="A7" s="1"/>
      <c r="B7" s="1"/>
      <c r="C7" s="1"/>
      <c r="D7" s="1"/>
      <c r="E7" s="1"/>
    </row>
    <row r="8" ht="15.0" customHeight="1">
      <c r="A8" s="7" t="s">
        <v>57</v>
      </c>
      <c r="B8" s="9"/>
      <c r="C8" s="9"/>
      <c r="D8" s="9"/>
      <c r="E8" s="9"/>
    </row>
    <row r="9" ht="15.0" customHeight="1">
      <c r="A9" s="14" t="s">
        <v>60</v>
      </c>
      <c r="B9" s="14" t="s">
        <v>50</v>
      </c>
      <c r="C9" s="14" t="s">
        <v>64</v>
      </c>
      <c r="D9" s="14" t="s">
        <v>65</v>
      </c>
      <c r="E9" s="14" t="s">
        <v>37</v>
      </c>
    </row>
    <row r="10" ht="39.0" customHeight="1">
      <c r="A10" s="18" t="s">
        <v>68</v>
      </c>
      <c r="B10" s="22"/>
      <c r="C10" s="19" t="s">
        <v>69</v>
      </c>
      <c r="D10" s="19" t="s">
        <v>70</v>
      </c>
      <c r="E10" s="23" t="s">
        <v>71</v>
      </c>
    </row>
    <row r="11" ht="15.0" customHeight="1">
      <c r="A11" s="18"/>
      <c r="B11" s="18"/>
      <c r="C11" s="18"/>
      <c r="D11" s="18"/>
      <c r="E11" s="18"/>
    </row>
    <row r="12" ht="15.0" customHeight="1">
      <c r="A12" s="18"/>
      <c r="B12" s="18"/>
      <c r="C12" s="18"/>
      <c r="D12" s="18"/>
      <c r="E12" s="18"/>
    </row>
    <row r="13" ht="15.0" customHeight="1">
      <c r="A13" s="18"/>
      <c r="B13" s="18"/>
      <c r="C13" s="18"/>
      <c r="D13" s="18"/>
      <c r="E13" s="18"/>
    </row>
    <row r="14" ht="15.0" customHeight="1">
      <c r="A14" s="18"/>
      <c r="B14" s="18"/>
      <c r="C14" s="18"/>
      <c r="D14" s="18"/>
      <c r="E14" s="18"/>
    </row>
    <row r="15" ht="15.0" customHeight="1">
      <c r="A15" s="18"/>
      <c r="B15" s="18"/>
      <c r="C15" s="18"/>
      <c r="D15" s="18"/>
      <c r="E15" s="18"/>
    </row>
    <row r="16" ht="15.0" customHeight="1">
      <c r="A16" s="18"/>
      <c r="B16" s="18"/>
      <c r="C16" s="18"/>
      <c r="D16" s="18"/>
      <c r="E16" s="18"/>
    </row>
    <row r="17" ht="15.0" customHeight="1">
      <c r="A17" s="18"/>
      <c r="B17" s="18"/>
      <c r="C17" s="18"/>
      <c r="D17" s="18"/>
      <c r="E17" s="18"/>
    </row>
    <row r="18" ht="15.0" customHeight="1">
      <c r="A18" s="18"/>
      <c r="B18" s="18"/>
      <c r="C18" s="18"/>
      <c r="D18" s="18"/>
      <c r="E18" s="18"/>
    </row>
    <row r="19" ht="15.0" customHeight="1">
      <c r="A19" s="28" t="s">
        <v>78</v>
      </c>
      <c r="B19" s="30">
        <f>SUM(B10:B18)</f>
        <v>0</v>
      </c>
      <c r="C19" s="31"/>
      <c r="D19" s="31"/>
      <c r="E19" s="3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0" customHeight="1">
      <c r="A22" s="7" t="s">
        <v>88</v>
      </c>
      <c r="B22" s="9"/>
      <c r="C22" s="9"/>
      <c r="D22" s="9"/>
      <c r="E22" s="9"/>
    </row>
    <row r="23" ht="15.0" customHeight="1">
      <c r="A23" s="14" t="s">
        <v>60</v>
      </c>
      <c r="B23" s="14" t="s">
        <v>89</v>
      </c>
      <c r="C23" s="14" t="s">
        <v>92</v>
      </c>
      <c r="D23" s="14" t="s">
        <v>93</v>
      </c>
      <c r="E23" s="14" t="s">
        <v>37</v>
      </c>
    </row>
    <row r="24" ht="15.0" customHeight="1">
      <c r="A24" s="18"/>
      <c r="B24" s="18"/>
      <c r="C24" s="18"/>
      <c r="D24" s="18"/>
      <c r="E24" s="18"/>
    </row>
    <row r="25" ht="15.0" customHeight="1">
      <c r="A25" s="18"/>
      <c r="B25" s="18"/>
      <c r="C25" s="18"/>
      <c r="D25" s="18"/>
      <c r="E25" s="18"/>
    </row>
    <row r="26" ht="15.0" customHeight="1">
      <c r="A26" s="18"/>
      <c r="B26" s="18"/>
      <c r="C26" s="18"/>
      <c r="D26" s="18"/>
      <c r="E26" s="18"/>
    </row>
    <row r="27" ht="15.0" customHeight="1">
      <c r="A27" s="18"/>
      <c r="B27" s="18"/>
      <c r="C27" s="18"/>
      <c r="D27" s="18"/>
      <c r="E27" s="18"/>
    </row>
    <row r="28" ht="15.0" customHeight="1">
      <c r="A28" s="18"/>
      <c r="B28" s="18"/>
      <c r="C28" s="18"/>
      <c r="D28" s="18"/>
      <c r="E28" s="18"/>
    </row>
    <row r="29" ht="15.0" customHeight="1">
      <c r="A29" s="18"/>
      <c r="B29" s="18"/>
      <c r="C29" s="18"/>
      <c r="D29" s="18"/>
      <c r="E29" s="18"/>
    </row>
    <row r="30" ht="15.0" customHeight="1">
      <c r="A30" s="18"/>
      <c r="B30" s="18"/>
      <c r="C30" s="18"/>
      <c r="D30" s="18"/>
      <c r="E30" s="18"/>
    </row>
    <row r="31" ht="15.0" customHeight="1">
      <c r="A31" s="18"/>
      <c r="B31" s="18"/>
      <c r="C31" s="18"/>
      <c r="D31" s="18"/>
      <c r="E31" s="18"/>
    </row>
    <row r="32" ht="15.0" customHeight="1">
      <c r="A32" s="18"/>
      <c r="B32" s="18"/>
      <c r="C32" s="18"/>
      <c r="D32" s="18"/>
      <c r="E32" s="18"/>
    </row>
    <row r="33" ht="15.0" customHeight="1">
      <c r="A33" s="18"/>
      <c r="B33" s="18"/>
      <c r="C33" s="18"/>
      <c r="D33" s="18"/>
      <c r="E33" s="18"/>
    </row>
    <row r="34" ht="15.0" customHeight="1">
      <c r="A34" s="28" t="s">
        <v>103</v>
      </c>
      <c r="B34" s="30">
        <f>SUM(B24:B33)</f>
        <v>0</v>
      </c>
      <c r="C34" s="31"/>
      <c r="D34" s="31"/>
      <c r="E34" s="3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0" customHeight="1">
      <c r="A37" s="7" t="s">
        <v>109</v>
      </c>
      <c r="B37" s="9"/>
      <c r="C37" s="9"/>
      <c r="D37" s="9"/>
      <c r="E37" s="9"/>
    </row>
    <row r="38" ht="15.0" customHeight="1">
      <c r="A38" s="12" t="s">
        <v>112</v>
      </c>
      <c r="B38" s="24">
        <f>B34</f>
        <v>0</v>
      </c>
      <c r="C38" s="1"/>
      <c r="D38" s="1"/>
      <c r="E38" s="1"/>
    </row>
    <row r="39" ht="15.0" customHeight="1">
      <c r="A39" s="12" t="s">
        <v>115</v>
      </c>
      <c r="B39" s="24">
        <f>B19</f>
        <v>0</v>
      </c>
      <c r="C39" s="1"/>
      <c r="D39" s="1"/>
      <c r="E39" s="1"/>
    </row>
    <row r="40" ht="15.0" customHeight="1">
      <c r="A40" s="12" t="s">
        <v>116</v>
      </c>
      <c r="B40" s="32">
        <f>B6-B34-B39</f>
        <v>9680</v>
      </c>
      <c r="C40" s="1"/>
      <c r="D40" s="1"/>
      <c r="E40" s="1"/>
    </row>
    <row r="41" ht="15.0" customHeight="1">
      <c r="A41" s="12" t="s">
        <v>119</v>
      </c>
      <c r="B41" s="33" t="str">
        <f>IF(B40&gt;=0,"Kyllä","EI – ylittää")</f>
        <v>Kyllä</v>
      </c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8" width="13.0"/>
    <col customWidth="1" min="9" max="9" width="40.0"/>
    <col customWidth="1" min="10" max="26" width="8.71"/>
  </cols>
  <sheetData>
    <row r="1" ht="17.25" customHeight="1">
      <c r="A1" s="2" t="s">
        <v>146</v>
      </c>
      <c r="B1" s="1"/>
      <c r="C1" s="1"/>
      <c r="D1" s="1"/>
      <c r="E1" s="1"/>
      <c r="F1" s="1"/>
      <c r="G1" s="1"/>
      <c r="H1" s="1"/>
      <c r="I1" s="1"/>
    </row>
    <row r="2" ht="30.0" customHeight="1">
      <c r="A2" s="3" t="s">
        <v>147</v>
      </c>
      <c r="B2" s="1"/>
      <c r="C2" s="1"/>
      <c r="D2" s="1"/>
      <c r="E2" s="1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 ht="15.0" customHeight="1">
      <c r="A4" s="33" t="s">
        <v>148</v>
      </c>
      <c r="B4" s="40">
        <v>1800.0</v>
      </c>
      <c r="C4" s="1"/>
      <c r="D4" s="1"/>
      <c r="E4" s="1"/>
      <c r="F4" s="1"/>
      <c r="G4" s="1"/>
      <c r="H4" s="1"/>
      <c r="I4" s="1"/>
    </row>
    <row r="5" ht="15.0" customHeight="1">
      <c r="A5" s="33" t="s">
        <v>149</v>
      </c>
      <c r="B5" s="21">
        <v>12.0</v>
      </c>
      <c r="C5" s="1"/>
      <c r="D5" s="1"/>
      <c r="E5" s="1"/>
      <c r="F5" s="1"/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 ht="15.0" customHeight="1">
      <c r="A7" s="7" t="s">
        <v>150</v>
      </c>
      <c r="B7" s="9"/>
      <c r="C7" s="9"/>
      <c r="D7" s="9"/>
      <c r="E7" s="9"/>
      <c r="F7" s="9"/>
      <c r="G7" s="9"/>
      <c r="H7" s="9"/>
      <c r="I7" s="9"/>
    </row>
    <row r="8" ht="26.25" customHeight="1">
      <c r="A8" s="14" t="s">
        <v>151</v>
      </c>
      <c r="B8" s="14" t="s">
        <v>152</v>
      </c>
      <c r="C8" s="14" t="s">
        <v>153</v>
      </c>
      <c r="D8" s="14" t="s">
        <v>154</v>
      </c>
      <c r="E8" s="14" t="s">
        <v>155</v>
      </c>
      <c r="F8" s="14" t="s">
        <v>156</v>
      </c>
      <c r="G8" s="14" t="s">
        <v>157</v>
      </c>
      <c r="H8" s="14"/>
      <c r="I8" s="14"/>
    </row>
    <row r="9" ht="15.0" customHeight="1">
      <c r="A9" s="19">
        <v>2026.0</v>
      </c>
      <c r="B9" s="21">
        <v>0.0</v>
      </c>
      <c r="C9" s="41">
        <f t="shared" ref="C9:C23" si="1">B9*$B$4</f>
        <v>0</v>
      </c>
      <c r="D9" s="21">
        <v>1.0</v>
      </c>
      <c r="E9" s="41">
        <f t="shared" ref="E9:E23" si="2">D9*$B$4</f>
        <v>1800</v>
      </c>
      <c r="F9" s="21">
        <v>0.0</v>
      </c>
      <c r="G9" s="41">
        <f t="shared" ref="G9:G23" si="3">F9*$B$4</f>
        <v>0</v>
      </c>
      <c r="H9" s="12"/>
      <c r="I9" s="12"/>
    </row>
    <row r="10" ht="15.0" customHeight="1">
      <c r="A10" s="19">
        <v>2027.0</v>
      </c>
      <c r="B10" s="21">
        <v>1.0</v>
      </c>
      <c r="C10" s="41">
        <f t="shared" si="1"/>
        <v>1800</v>
      </c>
      <c r="D10" s="21">
        <v>1.0</v>
      </c>
      <c r="E10" s="41">
        <f t="shared" si="2"/>
        <v>1800</v>
      </c>
      <c r="F10" s="21">
        <v>0.0</v>
      </c>
      <c r="G10" s="41">
        <f t="shared" si="3"/>
        <v>0</v>
      </c>
      <c r="H10" s="12"/>
      <c r="I10" s="12"/>
    </row>
    <row r="11" ht="15.0" customHeight="1">
      <c r="A11" s="19">
        <v>2028.0</v>
      </c>
      <c r="B11" s="21">
        <v>0.0</v>
      </c>
      <c r="C11" s="41">
        <f t="shared" si="1"/>
        <v>0</v>
      </c>
      <c r="D11" s="21">
        <v>1.0</v>
      </c>
      <c r="E11" s="41">
        <f t="shared" si="2"/>
        <v>1800</v>
      </c>
      <c r="F11" s="21">
        <v>5.0</v>
      </c>
      <c r="G11" s="41">
        <f t="shared" si="3"/>
        <v>9000</v>
      </c>
      <c r="H11" s="12"/>
      <c r="I11" s="12"/>
    </row>
    <row r="12" ht="15.0" customHeight="1">
      <c r="A12" s="19">
        <v>2029.0</v>
      </c>
      <c r="B12" s="21">
        <v>0.0</v>
      </c>
      <c r="C12" s="41">
        <f t="shared" si="1"/>
        <v>0</v>
      </c>
      <c r="D12" s="21">
        <v>2.0</v>
      </c>
      <c r="E12" s="41">
        <f t="shared" si="2"/>
        <v>3600</v>
      </c>
      <c r="F12" s="21">
        <v>2.0</v>
      </c>
      <c r="G12" s="41">
        <f t="shared" si="3"/>
        <v>3600</v>
      </c>
      <c r="H12" s="12"/>
      <c r="I12" s="12"/>
    </row>
    <row r="13" ht="15.0" customHeight="1">
      <c r="A13" s="19">
        <v>2030.0</v>
      </c>
      <c r="B13" s="21">
        <v>1.0</v>
      </c>
      <c r="C13" s="41">
        <f t="shared" si="1"/>
        <v>1800</v>
      </c>
      <c r="D13" s="21">
        <v>2.0</v>
      </c>
      <c r="E13" s="41">
        <f t="shared" si="2"/>
        <v>3600</v>
      </c>
      <c r="F13" s="21">
        <v>2.0</v>
      </c>
      <c r="G13" s="41">
        <f t="shared" si="3"/>
        <v>3600</v>
      </c>
      <c r="H13" s="12"/>
      <c r="I13" s="12"/>
    </row>
    <row r="14" ht="15.0" customHeight="1">
      <c r="A14" s="19">
        <v>2031.0</v>
      </c>
      <c r="B14" s="21">
        <v>0.0</v>
      </c>
      <c r="C14" s="41">
        <f t="shared" si="1"/>
        <v>0</v>
      </c>
      <c r="D14" s="21">
        <v>2.0</v>
      </c>
      <c r="E14" s="41">
        <f t="shared" si="2"/>
        <v>3600</v>
      </c>
      <c r="F14" s="21">
        <v>2.0</v>
      </c>
      <c r="G14" s="41">
        <f t="shared" si="3"/>
        <v>3600</v>
      </c>
      <c r="H14" s="12"/>
      <c r="I14" s="12"/>
    </row>
    <row r="15" ht="15.0" customHeight="1">
      <c r="A15" s="19">
        <v>2032.0</v>
      </c>
      <c r="B15" s="21">
        <v>0.0</v>
      </c>
      <c r="C15" s="41">
        <f t="shared" si="1"/>
        <v>0</v>
      </c>
      <c r="D15" s="21">
        <v>1.0</v>
      </c>
      <c r="E15" s="41">
        <f t="shared" si="2"/>
        <v>1800</v>
      </c>
      <c r="F15" s="21">
        <v>1.0</v>
      </c>
      <c r="G15" s="41">
        <f t="shared" si="3"/>
        <v>1800</v>
      </c>
      <c r="H15" s="12"/>
      <c r="I15" s="12"/>
    </row>
    <row r="16" ht="15.0" customHeight="1">
      <c r="A16" s="19">
        <v>2033.0</v>
      </c>
      <c r="B16" s="21">
        <v>1.0</v>
      </c>
      <c r="C16" s="41">
        <f t="shared" si="1"/>
        <v>1800</v>
      </c>
      <c r="D16" s="21">
        <v>1.0</v>
      </c>
      <c r="E16" s="41">
        <f t="shared" si="2"/>
        <v>1800</v>
      </c>
      <c r="F16" s="21">
        <v>0.0</v>
      </c>
      <c r="G16" s="41">
        <f t="shared" si="3"/>
        <v>0</v>
      </c>
      <c r="H16" s="12"/>
      <c r="I16" s="12"/>
    </row>
    <row r="17" ht="15.0" customHeight="1">
      <c r="A17" s="19">
        <v>2034.0</v>
      </c>
      <c r="B17" s="21">
        <v>0.0</v>
      </c>
      <c r="C17" s="41">
        <f t="shared" si="1"/>
        <v>0</v>
      </c>
      <c r="D17" s="21">
        <v>1.0</v>
      </c>
      <c r="E17" s="41">
        <f t="shared" si="2"/>
        <v>1800</v>
      </c>
      <c r="F17" s="21">
        <v>0.0</v>
      </c>
      <c r="G17" s="41">
        <f t="shared" si="3"/>
        <v>0</v>
      </c>
      <c r="H17" s="12"/>
      <c r="I17" s="12"/>
    </row>
    <row r="18" ht="15.0" customHeight="1">
      <c r="A18" s="19">
        <v>2035.0</v>
      </c>
      <c r="B18" s="21">
        <v>0.0</v>
      </c>
      <c r="C18" s="41">
        <f t="shared" si="1"/>
        <v>0</v>
      </c>
      <c r="D18" s="21">
        <v>0.0</v>
      </c>
      <c r="E18" s="41">
        <f t="shared" si="2"/>
        <v>0</v>
      </c>
      <c r="F18" s="21">
        <v>0.0</v>
      </c>
      <c r="G18" s="41">
        <f t="shared" si="3"/>
        <v>0</v>
      </c>
      <c r="H18" s="12"/>
      <c r="I18" s="12"/>
    </row>
    <row r="19" ht="15.0" customHeight="1">
      <c r="A19" s="19">
        <v>2036.0</v>
      </c>
      <c r="B19" s="21">
        <v>1.0</v>
      </c>
      <c r="C19" s="41">
        <f t="shared" si="1"/>
        <v>1800</v>
      </c>
      <c r="D19" s="21">
        <v>0.0</v>
      </c>
      <c r="E19" s="41">
        <f t="shared" si="2"/>
        <v>0</v>
      </c>
      <c r="F19" s="21">
        <v>0.0</v>
      </c>
      <c r="G19" s="41">
        <f t="shared" si="3"/>
        <v>0</v>
      </c>
      <c r="H19" s="12"/>
      <c r="I19" s="12"/>
    </row>
    <row r="20" ht="15.0" customHeight="1">
      <c r="A20" s="19">
        <v>2037.0</v>
      </c>
      <c r="B20" s="21">
        <v>0.0</v>
      </c>
      <c r="C20" s="41">
        <f t="shared" si="1"/>
        <v>0</v>
      </c>
      <c r="D20" s="21">
        <v>0.0</v>
      </c>
      <c r="E20" s="41">
        <f t="shared" si="2"/>
        <v>0</v>
      </c>
      <c r="F20" s="21">
        <v>0.0</v>
      </c>
      <c r="G20" s="41">
        <f t="shared" si="3"/>
        <v>0</v>
      </c>
      <c r="H20" s="12"/>
      <c r="I20" s="12"/>
    </row>
    <row r="21" ht="15.0" customHeight="1">
      <c r="A21" s="19">
        <v>2038.0</v>
      </c>
      <c r="B21" s="21">
        <v>0.0</v>
      </c>
      <c r="C21" s="41">
        <f t="shared" si="1"/>
        <v>0</v>
      </c>
      <c r="D21" s="21">
        <v>0.0</v>
      </c>
      <c r="E21" s="41">
        <f t="shared" si="2"/>
        <v>0</v>
      </c>
      <c r="F21" s="21">
        <v>0.0</v>
      </c>
      <c r="G21" s="41">
        <f t="shared" si="3"/>
        <v>0</v>
      </c>
      <c r="H21" s="12"/>
      <c r="I21" s="12"/>
    </row>
    <row r="22" ht="15.0" customHeight="1">
      <c r="A22" s="19">
        <v>2039.0</v>
      </c>
      <c r="B22" s="21">
        <v>1.0</v>
      </c>
      <c r="C22" s="41">
        <f t="shared" si="1"/>
        <v>1800</v>
      </c>
      <c r="D22" s="21">
        <v>0.0</v>
      </c>
      <c r="E22" s="41">
        <f t="shared" si="2"/>
        <v>0</v>
      </c>
      <c r="F22" s="21">
        <v>0.0</v>
      </c>
      <c r="G22" s="41">
        <f t="shared" si="3"/>
        <v>0</v>
      </c>
      <c r="H22" s="12"/>
      <c r="I22" s="12"/>
    </row>
    <row r="23" ht="15.0" customHeight="1">
      <c r="A23" s="19">
        <v>2040.0</v>
      </c>
      <c r="B23" s="21">
        <v>0.0</v>
      </c>
      <c r="C23" s="41">
        <f t="shared" si="1"/>
        <v>0</v>
      </c>
      <c r="D23" s="21">
        <v>0.0</v>
      </c>
      <c r="E23" s="41">
        <f t="shared" si="2"/>
        <v>0</v>
      </c>
      <c r="F23" s="21">
        <v>0.0</v>
      </c>
      <c r="G23" s="41">
        <f t="shared" si="3"/>
        <v>0</v>
      </c>
      <c r="H23" s="12"/>
      <c r="I23" s="12"/>
    </row>
    <row r="24" ht="15.0" customHeight="1">
      <c r="A24" s="28" t="s">
        <v>158</v>
      </c>
      <c r="B24" s="42">
        <f t="shared" ref="B24:G24" si="4">SUM(B9:B23)</f>
        <v>5</v>
      </c>
      <c r="C24" s="43">
        <f t="shared" si="4"/>
        <v>9000</v>
      </c>
      <c r="D24" s="42">
        <f t="shared" si="4"/>
        <v>12</v>
      </c>
      <c r="E24" s="43">
        <f t="shared" si="4"/>
        <v>21600</v>
      </c>
      <c r="F24" s="42">
        <f t="shared" si="4"/>
        <v>12</v>
      </c>
      <c r="G24" s="43">
        <f t="shared" si="4"/>
        <v>21600</v>
      </c>
      <c r="H24" s="31"/>
      <c r="I24" s="31"/>
    </row>
    <row r="25" ht="15.0" customHeight="1">
      <c r="A25" s="18" t="s">
        <v>159</v>
      </c>
      <c r="B25" s="1"/>
      <c r="C25" s="44">
        <f>MAX(C9:C23)</f>
        <v>1800</v>
      </c>
      <c r="D25" s="1"/>
      <c r="E25" s="44">
        <f>MAX(E9:E23)</f>
        <v>3600</v>
      </c>
      <c r="F25" s="1"/>
      <c r="G25" s="44">
        <f>MAX(G9:G23)</f>
        <v>9000</v>
      </c>
      <c r="H25" s="1"/>
      <c r="I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</row>
    <row r="27" ht="45.0" customHeight="1">
      <c r="A27" s="45" t="s">
        <v>160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5.0" customHeight="1">
      <c r="A29" s="7" t="s">
        <v>161</v>
      </c>
      <c r="B29" s="9"/>
      <c r="C29" s="9"/>
      <c r="D29" s="9"/>
      <c r="E29" s="9"/>
      <c r="F29" s="9"/>
      <c r="G29" s="9"/>
      <c r="H29" s="9"/>
      <c r="I29" s="9"/>
    </row>
    <row r="30" ht="26.25" customHeight="1">
      <c r="A30" s="14" t="s">
        <v>162</v>
      </c>
      <c r="B30" s="14" t="s">
        <v>163</v>
      </c>
      <c r="C30" s="14" t="s">
        <v>164</v>
      </c>
      <c r="D30" s="14" t="s">
        <v>165</v>
      </c>
      <c r="E30" s="14" t="s">
        <v>37</v>
      </c>
      <c r="F30" s="1"/>
      <c r="G30" s="1"/>
      <c r="H30" s="1"/>
      <c r="I30" s="1"/>
    </row>
    <row r="31" ht="153.0" customHeight="1">
      <c r="A31" s="12" t="s">
        <v>166</v>
      </c>
      <c r="B31" s="17">
        <f>B4</f>
        <v>1800</v>
      </c>
      <c r="C31" s="24">
        <f>12*B4</f>
        <v>21600</v>
      </c>
      <c r="D31" s="23" t="s">
        <v>167</v>
      </c>
      <c r="E31" s="23" t="s">
        <v>168</v>
      </c>
      <c r="F31" s="1"/>
      <c r="G31" s="1"/>
      <c r="H31" s="1"/>
      <c r="I31" s="1"/>
    </row>
    <row r="32" ht="216.75" customHeight="1">
      <c r="A32" s="12" t="s">
        <v>169</v>
      </c>
      <c r="B32" s="24">
        <f>B4*0.85</f>
        <v>1530</v>
      </c>
      <c r="C32" s="24">
        <f>12*B4*0.85</f>
        <v>18360</v>
      </c>
      <c r="D32" s="23" t="s">
        <v>170</v>
      </c>
      <c r="E32" s="46" t="s">
        <v>171</v>
      </c>
      <c r="F32" s="1"/>
      <c r="G32" s="1"/>
      <c r="H32" s="1"/>
      <c r="I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ht="45.0" customHeight="1">
      <c r="A34" s="45" t="s">
        <v>172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2">
    <mergeCell ref="A27:I27"/>
    <mergeCell ref="A34:I3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30.0"/>
    <col customWidth="1" min="2" max="2" width="12.0"/>
    <col customWidth="1" min="3" max="3" width="30.0"/>
    <col customWidth="1" min="4" max="23" width="9.0"/>
    <col customWidth="1" min="24" max="26" width="8.71"/>
  </cols>
  <sheetData>
    <row r="1" ht="17.25" customHeight="1">
      <c r="A1" s="2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3.5" customHeight="1">
      <c r="A2" s="3" t="s">
        <v>174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0" customHeight="1">
      <c r="A4" s="7" t="s">
        <v>175</v>
      </c>
      <c r="B4" s="9"/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0" customHeight="1">
      <c r="A5" s="12" t="s">
        <v>176</v>
      </c>
      <c r="B5" s="1"/>
      <c r="C5" s="47">
        <f>'Taloudellinen asema'!C14</f>
        <v>22208.49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0" customHeight="1">
      <c r="A6" s="12" t="s">
        <v>177</v>
      </c>
      <c r="B6" s="1"/>
      <c r="C6" s="48">
        <v>9680.0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0" customHeight="1">
      <c r="A7" s="12" t="s">
        <v>178</v>
      </c>
      <c r="B7" s="1"/>
      <c r="C7" s="48">
        <v>10000.0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0" customHeight="1">
      <c r="A9" s="4" t="s">
        <v>179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0" customHeight="1">
      <c r="A10" s="49" t="s">
        <v>180</v>
      </c>
      <c r="B10" s="50" t="s">
        <v>181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0" customHeight="1">
      <c r="A11" s="51" t="s">
        <v>182</v>
      </c>
      <c r="B11" s="50" t="s">
        <v>183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0" customHeight="1">
      <c r="A12" s="52" t="s">
        <v>184</v>
      </c>
      <c r="B12" s="50" t="s">
        <v>185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0" customHeight="1">
      <c r="A14" s="7" t="s">
        <v>186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7.75" customHeight="1">
      <c r="A15" s="14" t="s">
        <v>60</v>
      </c>
      <c r="B15" s="14" t="s">
        <v>187</v>
      </c>
      <c r="C15" s="14" t="s">
        <v>37</v>
      </c>
      <c r="D15" s="53">
        <v>2026.0</v>
      </c>
      <c r="E15" s="53">
        <v>2027.0</v>
      </c>
      <c r="F15" s="53">
        <v>2028.0</v>
      </c>
      <c r="G15" s="53">
        <v>2029.0</v>
      </c>
      <c r="H15" s="53">
        <v>2030.0</v>
      </c>
      <c r="I15" s="53">
        <v>2031.0</v>
      </c>
      <c r="J15" s="53">
        <v>2032.0</v>
      </c>
      <c r="K15" s="53">
        <v>2033.0</v>
      </c>
      <c r="L15" s="53">
        <v>2034.0</v>
      </c>
      <c r="M15" s="53">
        <v>2035.0</v>
      </c>
      <c r="N15" s="53">
        <v>2036.0</v>
      </c>
      <c r="O15" s="53">
        <v>2037.0</v>
      </c>
      <c r="P15" s="53">
        <v>2038.0</v>
      </c>
      <c r="Q15" s="53">
        <v>2039.0</v>
      </c>
      <c r="R15" s="53">
        <v>2040.0</v>
      </c>
      <c r="S15" s="53">
        <v>2041.0</v>
      </c>
      <c r="T15" s="53">
        <v>2042.0</v>
      </c>
      <c r="U15" s="53">
        <v>2043.0</v>
      </c>
      <c r="V15" s="53">
        <v>2044.0</v>
      </c>
      <c r="W15" s="53">
        <v>2045.0</v>
      </c>
    </row>
    <row r="16" ht="26.25" customHeight="1">
      <c r="A16" s="18" t="s">
        <v>188</v>
      </c>
      <c r="B16" s="54" t="s">
        <v>180</v>
      </c>
      <c r="C16" s="23" t="s">
        <v>189</v>
      </c>
      <c r="D16" s="55">
        <f>'Pitkä aikaväli'!C9</f>
        <v>0</v>
      </c>
      <c r="E16" s="55">
        <f>'Pitkä aikaväli'!C10</f>
        <v>1800</v>
      </c>
      <c r="F16" s="55">
        <f>'Pitkä aikaväli'!C11</f>
        <v>0</v>
      </c>
      <c r="G16" s="55">
        <f>'Pitkä aikaväli'!C12</f>
        <v>0</v>
      </c>
      <c r="H16" s="55">
        <f>'Pitkä aikaväli'!C13</f>
        <v>1800</v>
      </c>
      <c r="I16" s="55">
        <f>'Pitkä aikaväli'!C14</f>
        <v>0</v>
      </c>
      <c r="J16" s="55">
        <f>'Pitkä aikaväli'!C15</f>
        <v>0</v>
      </c>
      <c r="K16" s="55">
        <f>'Pitkä aikaväli'!C16</f>
        <v>1800</v>
      </c>
      <c r="L16" s="55">
        <f>'Pitkä aikaväli'!C17</f>
        <v>0</v>
      </c>
      <c r="M16" s="55">
        <f>'Pitkä aikaväli'!C18</f>
        <v>0</v>
      </c>
      <c r="N16" s="55">
        <f>'Pitkä aikaväli'!C19</f>
        <v>1800</v>
      </c>
      <c r="O16" s="55">
        <f>'Pitkä aikaväli'!C20</f>
        <v>0</v>
      </c>
      <c r="P16" s="55">
        <f>'Pitkä aikaväli'!C21</f>
        <v>0</v>
      </c>
      <c r="Q16" s="55">
        <f>'Pitkä aikaväli'!C22</f>
        <v>1800</v>
      </c>
      <c r="R16" s="55">
        <f>'Pitkä aikaväli'!C23</f>
        <v>0</v>
      </c>
      <c r="S16" s="18"/>
      <c r="T16" s="18"/>
      <c r="U16" s="18"/>
      <c r="V16" s="18"/>
      <c r="W16" s="18"/>
    </row>
    <row r="17" ht="15.0" customHeight="1">
      <c r="A17" s="18" t="s">
        <v>190</v>
      </c>
      <c r="B17" s="56" t="s">
        <v>182</v>
      </c>
      <c r="C17" s="23" t="s">
        <v>191</v>
      </c>
      <c r="D17" s="55">
        <f>'Pitkä aikaväli'!E9-'Pitkä aikaväli'!C9</f>
        <v>1800</v>
      </c>
      <c r="E17" s="55">
        <f>'Pitkä aikaväli'!E10-'Pitkä aikaväli'!C10</f>
        <v>0</v>
      </c>
      <c r="F17" s="55">
        <f>'Pitkä aikaväli'!E11-'Pitkä aikaväli'!C11</f>
        <v>1800</v>
      </c>
      <c r="G17" s="55">
        <f>'Pitkä aikaväli'!E12-'Pitkä aikaväli'!C12</f>
        <v>3600</v>
      </c>
      <c r="H17" s="55">
        <f>'Pitkä aikaväli'!E13-'Pitkä aikaväli'!C13</f>
        <v>1800</v>
      </c>
      <c r="I17" s="55">
        <f>'Pitkä aikaväli'!E14-'Pitkä aikaväli'!C14</f>
        <v>3600</v>
      </c>
      <c r="J17" s="55">
        <f>'Pitkä aikaväli'!E15-'Pitkä aikaväli'!C15</f>
        <v>1800</v>
      </c>
      <c r="K17" s="55">
        <f>'Pitkä aikaväli'!E16-'Pitkä aikaväli'!C16</f>
        <v>0</v>
      </c>
      <c r="L17" s="55">
        <f>'Pitkä aikaväli'!E17-'Pitkä aikaväli'!C17</f>
        <v>1800</v>
      </c>
      <c r="M17" s="55">
        <f>'Pitkä aikaväli'!E18-'Pitkä aikaväli'!C18</f>
        <v>0</v>
      </c>
      <c r="N17" s="55">
        <f>'Pitkä aikaväli'!E19-'Pitkä aikaväli'!C19</f>
        <v>-1800</v>
      </c>
      <c r="O17" s="55">
        <f>'Pitkä aikaväli'!E20-'Pitkä aikaväli'!C20</f>
        <v>0</v>
      </c>
      <c r="P17" s="55">
        <f>'Pitkä aikaväli'!E21-'Pitkä aikaväli'!C21</f>
        <v>0</v>
      </c>
      <c r="Q17" s="55">
        <f>'Pitkä aikaväli'!E22-'Pitkä aikaväli'!C22</f>
        <v>-1800</v>
      </c>
      <c r="R17" s="55">
        <f>'Pitkä aikaväli'!E23-'Pitkä aikaväli'!C23</f>
        <v>0</v>
      </c>
      <c r="S17" s="18"/>
      <c r="T17" s="18"/>
      <c r="U17" s="18"/>
      <c r="V17" s="18"/>
      <c r="W17" s="18"/>
    </row>
    <row r="18" ht="15.0" customHeight="1">
      <c r="A18" s="18" t="s">
        <v>192</v>
      </c>
      <c r="B18" s="57" t="s">
        <v>184</v>
      </c>
      <c r="C18" s="23" t="s">
        <v>193</v>
      </c>
      <c r="D18" s="55">
        <f>'Pitkä aikaväli'!G9-'Pitkä aikaväli'!E9</f>
        <v>-1800</v>
      </c>
      <c r="E18" s="55">
        <f>'Pitkä aikaväli'!G10-'Pitkä aikaväli'!E10</f>
        <v>-1800</v>
      </c>
      <c r="F18" s="55">
        <f>'Pitkä aikaväli'!G11-'Pitkä aikaväli'!E11</f>
        <v>7200</v>
      </c>
      <c r="G18" s="55">
        <f>'Pitkä aikaväli'!G12-'Pitkä aikaväli'!E12</f>
        <v>0</v>
      </c>
      <c r="H18" s="55">
        <f>'Pitkä aikaväli'!G13-'Pitkä aikaväli'!E13</f>
        <v>0</v>
      </c>
      <c r="I18" s="55">
        <f>'Pitkä aikaväli'!G14-'Pitkä aikaväli'!E14</f>
        <v>0</v>
      </c>
      <c r="J18" s="55">
        <f>'Pitkä aikaväli'!G15-'Pitkä aikaväli'!E15</f>
        <v>0</v>
      </c>
      <c r="K18" s="55">
        <f>'Pitkä aikaväli'!G16-'Pitkä aikaväli'!E16</f>
        <v>-1800</v>
      </c>
      <c r="L18" s="55">
        <f>'Pitkä aikaväli'!G17-'Pitkä aikaväli'!E17</f>
        <v>-1800</v>
      </c>
      <c r="M18" s="55">
        <f>'Pitkä aikaväli'!G18-'Pitkä aikaväli'!E18</f>
        <v>0</v>
      </c>
      <c r="N18" s="55">
        <f>'Pitkä aikaväli'!G19-'Pitkä aikaväli'!E19</f>
        <v>0</v>
      </c>
      <c r="O18" s="55">
        <f>'Pitkä aikaväli'!G20-'Pitkä aikaväli'!E20</f>
        <v>0</v>
      </c>
      <c r="P18" s="55">
        <f>'Pitkä aikaväli'!G21-'Pitkä aikaväli'!E21</f>
        <v>0</v>
      </c>
      <c r="Q18" s="55">
        <f>'Pitkä aikaväli'!G22-'Pitkä aikaväli'!E22</f>
        <v>0</v>
      </c>
      <c r="R18" s="55">
        <f>'Pitkä aikaväli'!G23-'Pitkä aikaväli'!E23</f>
        <v>0</v>
      </c>
      <c r="S18" s="18"/>
      <c r="T18" s="18"/>
      <c r="U18" s="18"/>
      <c r="V18" s="18"/>
      <c r="W18" s="18"/>
    </row>
    <row r="19" ht="15.0" customHeight="1">
      <c r="A19" s="18" t="s">
        <v>194</v>
      </c>
      <c r="B19" s="54" t="s">
        <v>180</v>
      </c>
      <c r="C19" s="23" t="s">
        <v>195</v>
      </c>
      <c r="D19" s="58">
        <v>2600.0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ht="15.0" customHeight="1">
      <c r="A20" s="18" t="s">
        <v>196</v>
      </c>
      <c r="B20" s="56" t="s">
        <v>182</v>
      </c>
      <c r="C20" s="23" t="s">
        <v>197</v>
      </c>
      <c r="D20" s="18"/>
      <c r="E20" s="58">
        <v>2600.0</v>
      </c>
      <c r="F20" s="58">
        <v>2600.0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26.25" customHeight="1">
      <c r="A21" s="18" t="s">
        <v>198</v>
      </c>
      <c r="B21" s="57" t="s">
        <v>184</v>
      </c>
      <c r="C21" s="23" t="s">
        <v>199</v>
      </c>
      <c r="D21" s="18"/>
      <c r="E21" s="58">
        <v>2600.0</v>
      </c>
      <c r="F21" s="18"/>
      <c r="G21" s="58">
        <v>2600.0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8"/>
      <c r="B22" s="19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8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8"/>
      <c r="B24" s="1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8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8"/>
      <c r="B26" s="19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8"/>
      <c r="B27" s="19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8"/>
      <c r="B28" s="19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8"/>
      <c r="B29" s="19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8"/>
      <c r="B30" s="19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8"/>
      <c r="B31" s="1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8"/>
      <c r="B32" s="19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8"/>
      <c r="B33" s="19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0" customHeight="1">
      <c r="A35" s="7" t="s">
        <v>200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ht="15.0" customHeight="1">
      <c r="A36" s="59" t="s">
        <v>201</v>
      </c>
      <c r="B36" s="60"/>
      <c r="C36" s="60"/>
      <c r="D36" s="61">
        <f t="shared" ref="D36:W36" si="1">SUMIF($B$16:$B$33,"Varma",D$16:D$33)</f>
        <v>2600</v>
      </c>
      <c r="E36" s="61">
        <f t="shared" si="1"/>
        <v>1800</v>
      </c>
      <c r="F36" s="61">
        <f t="shared" si="1"/>
        <v>0</v>
      </c>
      <c r="G36" s="61">
        <f t="shared" si="1"/>
        <v>0</v>
      </c>
      <c r="H36" s="61">
        <f t="shared" si="1"/>
        <v>1800</v>
      </c>
      <c r="I36" s="61">
        <f t="shared" si="1"/>
        <v>0</v>
      </c>
      <c r="J36" s="61">
        <f t="shared" si="1"/>
        <v>0</v>
      </c>
      <c r="K36" s="61">
        <f t="shared" si="1"/>
        <v>1800</v>
      </c>
      <c r="L36" s="61">
        <f t="shared" si="1"/>
        <v>0</v>
      </c>
      <c r="M36" s="61">
        <f t="shared" si="1"/>
        <v>0</v>
      </c>
      <c r="N36" s="61">
        <f t="shared" si="1"/>
        <v>1800</v>
      </c>
      <c r="O36" s="61">
        <f t="shared" si="1"/>
        <v>0</v>
      </c>
      <c r="P36" s="61">
        <f t="shared" si="1"/>
        <v>0</v>
      </c>
      <c r="Q36" s="61">
        <f t="shared" si="1"/>
        <v>1800</v>
      </c>
      <c r="R36" s="61">
        <f t="shared" si="1"/>
        <v>0</v>
      </c>
      <c r="S36" s="61">
        <f t="shared" si="1"/>
        <v>0</v>
      </c>
      <c r="T36" s="61">
        <f t="shared" si="1"/>
        <v>0</v>
      </c>
      <c r="U36" s="61">
        <f t="shared" si="1"/>
        <v>0</v>
      </c>
      <c r="V36" s="61">
        <f t="shared" si="1"/>
        <v>0</v>
      </c>
      <c r="W36" s="61">
        <f t="shared" si="1"/>
        <v>0</v>
      </c>
    </row>
    <row r="37" ht="15.0" customHeight="1">
      <c r="A37" s="62" t="s">
        <v>202</v>
      </c>
      <c r="B37" s="63"/>
      <c r="C37" s="63"/>
      <c r="D37" s="64">
        <f t="shared" ref="D37:W37" si="2">SUMIF($B$16:$B$33,"Varma",D$16:D$33)+SUMIF($B$16:$B$33,"Perus",D$16:D$33)</f>
        <v>4400</v>
      </c>
      <c r="E37" s="64">
        <f t="shared" si="2"/>
        <v>4400</v>
      </c>
      <c r="F37" s="64">
        <f t="shared" si="2"/>
        <v>4400</v>
      </c>
      <c r="G37" s="64">
        <f t="shared" si="2"/>
        <v>3600</v>
      </c>
      <c r="H37" s="64">
        <f t="shared" si="2"/>
        <v>3600</v>
      </c>
      <c r="I37" s="64">
        <f t="shared" si="2"/>
        <v>3600</v>
      </c>
      <c r="J37" s="64">
        <f t="shared" si="2"/>
        <v>1800</v>
      </c>
      <c r="K37" s="64">
        <f t="shared" si="2"/>
        <v>1800</v>
      </c>
      <c r="L37" s="64">
        <f t="shared" si="2"/>
        <v>1800</v>
      </c>
      <c r="M37" s="64">
        <f t="shared" si="2"/>
        <v>0</v>
      </c>
      <c r="N37" s="64">
        <f t="shared" si="2"/>
        <v>0</v>
      </c>
      <c r="O37" s="64">
        <f t="shared" si="2"/>
        <v>0</v>
      </c>
      <c r="P37" s="64">
        <f t="shared" si="2"/>
        <v>0</v>
      </c>
      <c r="Q37" s="64">
        <f t="shared" si="2"/>
        <v>0</v>
      </c>
      <c r="R37" s="64">
        <f t="shared" si="2"/>
        <v>0</v>
      </c>
      <c r="S37" s="64">
        <f t="shared" si="2"/>
        <v>0</v>
      </c>
      <c r="T37" s="64">
        <f t="shared" si="2"/>
        <v>0</v>
      </c>
      <c r="U37" s="64">
        <f t="shared" si="2"/>
        <v>0</v>
      </c>
      <c r="V37" s="64">
        <f t="shared" si="2"/>
        <v>0</v>
      </c>
      <c r="W37" s="64">
        <f t="shared" si="2"/>
        <v>0</v>
      </c>
    </row>
    <row r="38" ht="15.0" customHeight="1">
      <c r="A38" s="65" t="s">
        <v>203</v>
      </c>
      <c r="B38" s="66"/>
      <c r="C38" s="66"/>
      <c r="D38" s="67">
        <f t="shared" ref="D38:W38" si="3">SUM(D$16:D$33)</f>
        <v>2600</v>
      </c>
      <c r="E38" s="67">
        <f t="shared" si="3"/>
        <v>5200</v>
      </c>
      <c r="F38" s="67">
        <f t="shared" si="3"/>
        <v>11600</v>
      </c>
      <c r="G38" s="67">
        <f t="shared" si="3"/>
        <v>6200</v>
      </c>
      <c r="H38" s="67">
        <f t="shared" si="3"/>
        <v>3600</v>
      </c>
      <c r="I38" s="67">
        <f t="shared" si="3"/>
        <v>3600</v>
      </c>
      <c r="J38" s="67">
        <f t="shared" si="3"/>
        <v>1800</v>
      </c>
      <c r="K38" s="67">
        <f t="shared" si="3"/>
        <v>0</v>
      </c>
      <c r="L38" s="67">
        <f t="shared" si="3"/>
        <v>0</v>
      </c>
      <c r="M38" s="67">
        <f t="shared" si="3"/>
        <v>0</v>
      </c>
      <c r="N38" s="67">
        <f t="shared" si="3"/>
        <v>0</v>
      </c>
      <c r="O38" s="67">
        <f t="shared" si="3"/>
        <v>0</v>
      </c>
      <c r="P38" s="67">
        <f t="shared" si="3"/>
        <v>0</v>
      </c>
      <c r="Q38" s="67">
        <f t="shared" si="3"/>
        <v>0</v>
      </c>
      <c r="R38" s="67">
        <f t="shared" si="3"/>
        <v>0</v>
      </c>
      <c r="S38" s="67">
        <f t="shared" si="3"/>
        <v>0</v>
      </c>
      <c r="T38" s="67">
        <f t="shared" si="3"/>
        <v>0</v>
      </c>
      <c r="U38" s="67">
        <f t="shared" si="3"/>
        <v>0</v>
      </c>
      <c r="V38" s="67">
        <f t="shared" si="3"/>
        <v>0</v>
      </c>
      <c r="W38" s="67">
        <f t="shared" si="3"/>
        <v>0</v>
      </c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0" customHeight="1">
      <c r="A40" s="7" t="s">
        <v>204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ht="15.0" customHeight="1">
      <c r="A41" s="59" t="s">
        <v>205</v>
      </c>
      <c r="B41" s="60"/>
      <c r="C41" s="60"/>
      <c r="D41" s="68">
        <f>C5+C6-D36</f>
        <v>29288.49</v>
      </c>
      <c r="E41" s="68">
        <f>D41+C6-E36</f>
        <v>37168.49</v>
      </c>
      <c r="F41" s="68">
        <f>E41+C6-F36</f>
        <v>46848.49</v>
      </c>
      <c r="G41" s="68">
        <f>F41+C6-G36</f>
        <v>56528.49</v>
      </c>
      <c r="H41" s="68">
        <f>G41+C6-H36</f>
        <v>64408.49</v>
      </c>
      <c r="I41" s="68">
        <f>H41+C6-I36</f>
        <v>74088.49</v>
      </c>
      <c r="J41" s="68">
        <f>I41+C6-J36</f>
        <v>83768.49</v>
      </c>
      <c r="K41" s="68">
        <f>J41+C6-K36</f>
        <v>91648.49</v>
      </c>
      <c r="L41" s="68">
        <f>K41+C6-L36</f>
        <v>101328.49</v>
      </c>
      <c r="M41" s="68">
        <f>L41+C6-M36</f>
        <v>111008.49</v>
      </c>
      <c r="N41" s="68">
        <f>M41+C6-N36</f>
        <v>118888.49</v>
      </c>
      <c r="O41" s="68">
        <f>N41+C6-O36</f>
        <v>128568.49</v>
      </c>
      <c r="P41" s="68">
        <f>O41+C6-P36</f>
        <v>138248.49</v>
      </c>
      <c r="Q41" s="68">
        <f>P41+C6-Q36</f>
        <v>146128.49</v>
      </c>
      <c r="R41" s="68">
        <f>Q41+C6-R36</f>
        <v>155808.49</v>
      </c>
      <c r="S41" s="68">
        <f>R41+C6-S36</f>
        <v>165488.49</v>
      </c>
      <c r="T41" s="68">
        <f>S41+C6-T36</f>
        <v>175168.49</v>
      </c>
      <c r="U41" s="68">
        <f>T41+C6-U36</f>
        <v>184848.49</v>
      </c>
      <c r="V41" s="68">
        <f>U41+C6-V36</f>
        <v>194528.49</v>
      </c>
      <c r="W41" s="68">
        <f>V41+C6-W36</f>
        <v>204208.49</v>
      </c>
    </row>
    <row r="42" ht="15.0" customHeight="1">
      <c r="A42" s="62" t="s">
        <v>206</v>
      </c>
      <c r="B42" s="63"/>
      <c r="C42" s="63"/>
      <c r="D42" s="69">
        <f>C5+C6-D37</f>
        <v>27488.49</v>
      </c>
      <c r="E42" s="69">
        <f>D42+C6-E37</f>
        <v>32768.49</v>
      </c>
      <c r="F42" s="69">
        <f>E42+C6-F37</f>
        <v>38048.49</v>
      </c>
      <c r="G42" s="69">
        <f>F42+C6-G37</f>
        <v>44128.49</v>
      </c>
      <c r="H42" s="69">
        <f>G42+C6-H37</f>
        <v>50208.49</v>
      </c>
      <c r="I42" s="69">
        <f>H42+C6-I37</f>
        <v>56288.49</v>
      </c>
      <c r="J42" s="69">
        <f>I42+C6-J37</f>
        <v>64168.49</v>
      </c>
      <c r="K42" s="69">
        <f>J42+C6-K37</f>
        <v>72048.49</v>
      </c>
      <c r="L42" s="69">
        <f>K42+C6-L37</f>
        <v>79928.49</v>
      </c>
      <c r="M42" s="69">
        <f>L42+C6-M37</f>
        <v>89608.49</v>
      </c>
      <c r="N42" s="69">
        <f>M42+C6-N37</f>
        <v>99288.49</v>
      </c>
      <c r="O42" s="69">
        <f>N42+C6-O37</f>
        <v>108968.49</v>
      </c>
      <c r="P42" s="69">
        <f>O42+C6-P37</f>
        <v>118648.49</v>
      </c>
      <c r="Q42" s="69">
        <f>P42+C6-Q37</f>
        <v>128328.49</v>
      </c>
      <c r="R42" s="69">
        <f>Q42+C6-R37</f>
        <v>138008.49</v>
      </c>
      <c r="S42" s="69">
        <f>R42+C6-S37</f>
        <v>147688.49</v>
      </c>
      <c r="T42" s="69">
        <f>S42+C6-T37</f>
        <v>157368.49</v>
      </c>
      <c r="U42" s="69">
        <f>T42+C6-U37</f>
        <v>167048.49</v>
      </c>
      <c r="V42" s="69">
        <f>U42+C6-V37</f>
        <v>176728.49</v>
      </c>
      <c r="W42" s="69">
        <f>V42+C6-W37</f>
        <v>186408.49</v>
      </c>
    </row>
    <row r="43" ht="15.0" customHeight="1">
      <c r="A43" s="65" t="s">
        <v>207</v>
      </c>
      <c r="B43" s="66"/>
      <c r="C43" s="66"/>
      <c r="D43" s="70">
        <f>C5+C6-D38</f>
        <v>29288.49</v>
      </c>
      <c r="E43" s="70">
        <f>D43+C6-E38</f>
        <v>33768.49</v>
      </c>
      <c r="F43" s="70">
        <f>E43+C6-F38</f>
        <v>31848.49</v>
      </c>
      <c r="G43" s="70">
        <f>F43+C6-G38</f>
        <v>35328.49</v>
      </c>
      <c r="H43" s="70">
        <f>G43+C6-H38</f>
        <v>41408.49</v>
      </c>
      <c r="I43" s="70">
        <f>H43+C6-I38</f>
        <v>47488.49</v>
      </c>
      <c r="J43" s="70">
        <f>I43+C6-J38</f>
        <v>55368.49</v>
      </c>
      <c r="K43" s="70">
        <f>J43+C6-K38</f>
        <v>65048.49</v>
      </c>
      <c r="L43" s="70">
        <f>K43+C6-L38</f>
        <v>74728.49</v>
      </c>
      <c r="M43" s="70">
        <f>L43+C6-M38</f>
        <v>84408.49</v>
      </c>
      <c r="N43" s="70">
        <f>M43+C6-N38</f>
        <v>94088.49</v>
      </c>
      <c r="O43" s="70">
        <f>N43+C6-O38</f>
        <v>103768.49</v>
      </c>
      <c r="P43" s="70">
        <f>O43+C6-P38</f>
        <v>113448.49</v>
      </c>
      <c r="Q43" s="70">
        <f>P43+C6-Q38</f>
        <v>123128.49</v>
      </c>
      <c r="R43" s="70">
        <f>Q43+C6-R38</f>
        <v>132808.49</v>
      </c>
      <c r="S43" s="70">
        <f>R43+C6-S38</f>
        <v>142488.49</v>
      </c>
      <c r="T43" s="70">
        <f>S43+C6-T38</f>
        <v>152168.49</v>
      </c>
      <c r="U43" s="70">
        <f>T43+C6-U38</f>
        <v>161848.49</v>
      </c>
      <c r="V43" s="70">
        <f>U43+C6-V38</f>
        <v>171528.49</v>
      </c>
      <c r="W43" s="70">
        <f>V43+C6-W38</f>
        <v>181208.49</v>
      </c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0" customHeight="1">
      <c r="A45" s="7" t="s">
        <v>208</v>
      </c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0" customHeight="1">
      <c r="A46" s="18" t="s">
        <v>209</v>
      </c>
      <c r="B46" s="1"/>
      <c r="C46" s="71" t="str">
        <f t="array" ref="C46">IFERROR(INDEX(D$15:W$15,MATCH(TRUE(),D41:W41&lt;C7,0)),"Ei näköpiirissä (2026–2045)")</f>
        <v>Ei näköpiirissä (2026–2045)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0" customHeight="1">
      <c r="A47" s="18" t="s">
        <v>210</v>
      </c>
      <c r="B47" s="1"/>
      <c r="C47" s="71" t="str">
        <f t="array" ref="C47">IFERROR(INDEX(D$15:W$15,MATCH(TRUE(),D42:W42&lt;C7,0)),"Ei näköpiirissä (2026–2045)")</f>
        <v>Ei näköpiirissä (2026–2045)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0" customHeight="1">
      <c r="A48" s="18" t="s">
        <v>211</v>
      </c>
      <c r="B48" s="1"/>
      <c r="C48" s="71" t="str">
        <f t="array" ref="C48">IFERROR(INDEX(D$15:W$15,MATCH(TRUE(),D43:W43&lt;C7,0)),"Ei näköpiirissä (2026–2045)")</f>
        <v>Ei näköpiirissä (2026–2045)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45.0" customHeight="1">
      <c r="A50" s="45" t="s">
        <v>212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57.75" customHeight="1">
      <c r="A52" s="45" t="s">
        <v>213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2">
    <mergeCell ref="A50:C50"/>
    <mergeCell ref="A52:C5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6" width="14.0"/>
    <col customWidth="1" min="7" max="7" width="44.0"/>
    <col customWidth="1" min="8" max="26" width="8.71"/>
  </cols>
  <sheetData>
    <row r="1" ht="17.25" customHeight="1">
      <c r="A1" s="2" t="s">
        <v>214</v>
      </c>
      <c r="B1" s="1"/>
      <c r="C1" s="1"/>
      <c r="D1" s="1"/>
      <c r="E1" s="1"/>
      <c r="F1" s="1"/>
      <c r="G1" s="1"/>
    </row>
    <row r="2" ht="25.5" customHeight="1">
      <c r="A2" s="3" t="s">
        <v>215</v>
      </c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33.0" customHeight="1">
      <c r="A4" s="14" t="s">
        <v>216</v>
      </c>
      <c r="B4" s="14" t="s">
        <v>217</v>
      </c>
      <c r="C4" s="14" t="s">
        <v>22</v>
      </c>
      <c r="D4" s="14" t="s">
        <v>25</v>
      </c>
      <c r="E4" s="14" t="s">
        <v>27</v>
      </c>
      <c r="F4" s="14" t="s">
        <v>32</v>
      </c>
      <c r="G4" s="14" t="s">
        <v>37</v>
      </c>
    </row>
    <row r="5" ht="15.0" customHeight="1">
      <c r="A5" s="7" t="s">
        <v>218</v>
      </c>
      <c r="B5" s="9"/>
      <c r="C5" s="9"/>
      <c r="D5" s="9"/>
      <c r="E5" s="9"/>
      <c r="F5" s="9"/>
      <c r="G5" s="9"/>
    </row>
    <row r="6" ht="15.0" customHeight="1">
      <c r="A6" s="19" t="s">
        <v>219</v>
      </c>
      <c r="B6" s="18" t="s">
        <v>220</v>
      </c>
      <c r="C6" s="20">
        <v>-360.0</v>
      </c>
      <c r="D6" s="20">
        <v>-600.0</v>
      </c>
      <c r="E6" s="20">
        <v>-600.0</v>
      </c>
      <c r="F6" s="20">
        <v>-600.0</v>
      </c>
      <c r="G6" s="23"/>
    </row>
    <row r="7" ht="15.0" customHeight="1">
      <c r="A7" s="31"/>
      <c r="B7" s="28" t="s">
        <v>221</v>
      </c>
      <c r="C7" s="30">
        <f t="shared" ref="C7:F7" si="1">SUM(C6)</f>
        <v>-360</v>
      </c>
      <c r="D7" s="30">
        <f t="shared" si="1"/>
        <v>-600</v>
      </c>
      <c r="E7" s="30">
        <f t="shared" si="1"/>
        <v>-600</v>
      </c>
      <c r="F7" s="30">
        <f t="shared" si="1"/>
        <v>-600</v>
      </c>
      <c r="G7" s="31"/>
    </row>
    <row r="8">
      <c r="A8" s="1"/>
      <c r="B8" s="1"/>
      <c r="C8" s="1"/>
      <c r="D8" s="1"/>
      <c r="E8" s="1"/>
      <c r="F8" s="1"/>
      <c r="G8" s="1"/>
    </row>
    <row r="9" ht="15.0" customHeight="1">
      <c r="A9" s="7" t="s">
        <v>222</v>
      </c>
      <c r="B9" s="9"/>
      <c r="C9" s="9"/>
      <c r="D9" s="9"/>
      <c r="E9" s="9"/>
      <c r="F9" s="9"/>
      <c r="G9" s="9"/>
    </row>
    <row r="10" ht="15.0" customHeight="1">
      <c r="A10" s="19" t="s">
        <v>223</v>
      </c>
      <c r="B10" s="18" t="s">
        <v>224</v>
      </c>
      <c r="C10" s="20"/>
      <c r="D10" s="20">
        <v>-5298.76</v>
      </c>
      <c r="E10" s="20">
        <v>-5521.32</v>
      </c>
      <c r="F10" s="20">
        <v>-5701.32</v>
      </c>
      <c r="G10" s="23"/>
    </row>
    <row r="11" ht="15.0" customHeight="1">
      <c r="A11" s="19" t="s">
        <v>225</v>
      </c>
      <c r="B11" s="18" t="s">
        <v>226</v>
      </c>
      <c r="C11" s="20"/>
      <c r="D11" s="20">
        <v>-979.0</v>
      </c>
      <c r="E11" s="20">
        <v>-720.0</v>
      </c>
      <c r="F11" s="20">
        <v>-850.0</v>
      </c>
      <c r="G11" s="23"/>
    </row>
    <row r="12" ht="15.0" customHeight="1">
      <c r="A12" s="19" t="s">
        <v>227</v>
      </c>
      <c r="B12" s="18" t="s">
        <v>228</v>
      </c>
      <c r="C12" s="20"/>
      <c r="D12" s="20">
        <v>-154.0</v>
      </c>
      <c r="E12" s="20">
        <v>-112.5</v>
      </c>
      <c r="F12" s="20">
        <v>-180.0</v>
      </c>
      <c r="G12" s="23"/>
    </row>
    <row r="13" ht="15.0" customHeight="1">
      <c r="A13" s="19" t="s">
        <v>229</v>
      </c>
      <c r="B13" s="18" t="s">
        <v>230</v>
      </c>
      <c r="C13" s="20"/>
      <c r="D13" s="20">
        <v>-418.2</v>
      </c>
      <c r="E13" s="20">
        <v>-232.16</v>
      </c>
      <c r="F13" s="20">
        <v>-400.0</v>
      </c>
      <c r="G13" s="23"/>
    </row>
    <row r="14" ht="15.0" customHeight="1">
      <c r="A14" s="19" t="s">
        <v>231</v>
      </c>
      <c r="B14" s="18" t="s">
        <v>232</v>
      </c>
      <c r="C14" s="20"/>
      <c r="D14" s="20">
        <v>-3.38</v>
      </c>
      <c r="E14" s="20">
        <v>-5.97</v>
      </c>
      <c r="F14" s="20"/>
      <c r="G14" s="23"/>
    </row>
    <row r="15" ht="15.0" customHeight="1">
      <c r="A15" s="19" t="s">
        <v>233</v>
      </c>
      <c r="B15" s="18" t="s">
        <v>234</v>
      </c>
      <c r="C15" s="20"/>
      <c r="D15" s="20">
        <v>-218.0</v>
      </c>
      <c r="E15" s="20">
        <v>-218.0</v>
      </c>
      <c r="F15" s="20">
        <v>-226.0</v>
      </c>
      <c r="G15" s="23"/>
    </row>
    <row r="16" ht="15.0" customHeight="1">
      <c r="A16" s="19" t="s">
        <v>235</v>
      </c>
      <c r="B16" s="18" t="s">
        <v>236</v>
      </c>
      <c r="C16" s="20"/>
      <c r="D16" s="20">
        <v>-464.29</v>
      </c>
      <c r="E16" s="20">
        <v>-500.81</v>
      </c>
      <c r="F16" s="20">
        <v>-560.0</v>
      </c>
      <c r="G16" s="23"/>
    </row>
    <row r="17" ht="15.0" customHeight="1">
      <c r="A17" s="19" t="s">
        <v>237</v>
      </c>
      <c r="B17" s="18" t="s">
        <v>238</v>
      </c>
      <c r="C17" s="20"/>
      <c r="D17" s="20">
        <v>-350.0</v>
      </c>
      <c r="E17" s="20">
        <v>-50.0</v>
      </c>
      <c r="F17" s="20">
        <v>-55.0</v>
      </c>
      <c r="G17" s="23"/>
    </row>
    <row r="18" ht="15.0" customHeight="1">
      <c r="A18" s="31"/>
      <c r="B18" s="28" t="s">
        <v>239</v>
      </c>
      <c r="C18" s="72">
        <f>-Kulut!D6</f>
        <v>-8003.7</v>
      </c>
      <c r="D18" s="30">
        <f t="shared" ref="D18:F18" si="2">SUM(D10:D17)</f>
        <v>-7885.63</v>
      </c>
      <c r="E18" s="30">
        <f t="shared" si="2"/>
        <v>-7360.76</v>
      </c>
      <c r="F18" s="30">
        <f t="shared" si="2"/>
        <v>-7972.32</v>
      </c>
      <c r="G18" s="31"/>
    </row>
    <row r="19">
      <c r="A19" s="1"/>
      <c r="B19" s="1"/>
      <c r="C19" s="1"/>
      <c r="D19" s="1"/>
      <c r="E19" s="1"/>
      <c r="F19" s="1"/>
      <c r="G19" s="1"/>
    </row>
    <row r="20" ht="15.0" customHeight="1">
      <c r="A20" s="7" t="s">
        <v>240</v>
      </c>
      <c r="B20" s="9"/>
      <c r="C20" s="9"/>
      <c r="D20" s="9"/>
      <c r="E20" s="9"/>
      <c r="F20" s="9"/>
      <c r="G20" s="9"/>
    </row>
    <row r="21" ht="15.0" customHeight="1">
      <c r="A21" s="19" t="s">
        <v>241</v>
      </c>
      <c r="B21" s="18" t="s">
        <v>242</v>
      </c>
      <c r="C21" s="20"/>
      <c r="D21" s="20">
        <v>-695.24</v>
      </c>
      <c r="E21" s="20">
        <v>-700.44</v>
      </c>
      <c r="F21" s="20">
        <v>-700.44</v>
      </c>
      <c r="G21" s="23"/>
    </row>
    <row r="22" ht="15.0" customHeight="1">
      <c r="A22" s="19" t="s">
        <v>243</v>
      </c>
      <c r="B22" s="18" t="s">
        <v>244</v>
      </c>
      <c r="C22" s="20"/>
      <c r="D22" s="20">
        <v>-624.0</v>
      </c>
      <c r="E22" s="20">
        <v>-631.56</v>
      </c>
      <c r="F22" s="20">
        <v>-631.56</v>
      </c>
      <c r="G22" s="23"/>
    </row>
    <row r="23" ht="39.0" customHeight="1">
      <c r="A23" s="19" t="s">
        <v>245</v>
      </c>
      <c r="B23" s="18" t="s">
        <v>246</v>
      </c>
      <c r="C23" s="20">
        <v>-646.66</v>
      </c>
      <c r="D23" s="20">
        <v>-131.18</v>
      </c>
      <c r="E23" s="20">
        <v>-3292.34</v>
      </c>
      <c r="F23" s="20">
        <v>-1900.0</v>
      </c>
      <c r="G23" s="29" t="s">
        <v>247</v>
      </c>
    </row>
    <row r="24" ht="15.0" customHeight="1">
      <c r="A24" s="31"/>
      <c r="B24" s="28" t="s">
        <v>248</v>
      </c>
      <c r="C24" s="72">
        <f>-Kulut!D7</f>
        <v>-1975.41</v>
      </c>
      <c r="D24" s="30">
        <f t="shared" ref="D24:F24" si="3">SUM(D21:D23)</f>
        <v>-1450.42</v>
      </c>
      <c r="E24" s="30">
        <f t="shared" si="3"/>
        <v>-4624.34</v>
      </c>
      <c r="F24" s="30">
        <f t="shared" si="3"/>
        <v>-3232</v>
      </c>
      <c r="G24" s="31"/>
    </row>
    <row r="25" ht="15.75" customHeight="1">
      <c r="A25" s="1"/>
      <c r="B25" s="1"/>
      <c r="C25" s="1"/>
      <c r="D25" s="1"/>
      <c r="E25" s="1"/>
      <c r="F25" s="1"/>
      <c r="G25" s="1"/>
    </row>
    <row r="26" ht="15.0" customHeight="1">
      <c r="A26" s="7" t="s">
        <v>249</v>
      </c>
      <c r="B26" s="9"/>
      <c r="C26" s="9"/>
      <c r="D26" s="9"/>
      <c r="E26" s="9"/>
      <c r="F26" s="9"/>
      <c r="G26" s="9"/>
    </row>
    <row r="27" ht="15.0" customHeight="1">
      <c r="A27" s="19" t="s">
        <v>250</v>
      </c>
      <c r="B27" s="18" t="s">
        <v>251</v>
      </c>
      <c r="C27" s="20">
        <v>-3748.32</v>
      </c>
      <c r="D27" s="20">
        <v>-2157.6</v>
      </c>
      <c r="E27" s="20">
        <v>-2183.7</v>
      </c>
      <c r="F27" s="20">
        <v>-2300.0</v>
      </c>
      <c r="G27" s="29" t="s">
        <v>252</v>
      </c>
    </row>
    <row r="28" ht="15.0" customHeight="1">
      <c r="A28" s="19" t="s">
        <v>253</v>
      </c>
      <c r="B28" s="18" t="s">
        <v>254</v>
      </c>
      <c r="C28" s="20"/>
      <c r="D28" s="20"/>
      <c r="E28" s="20">
        <v>-9.99</v>
      </c>
      <c r="F28" s="20"/>
      <c r="G28" s="23"/>
    </row>
    <row r="29" ht="15.0" customHeight="1">
      <c r="A29" s="19" t="s">
        <v>257</v>
      </c>
      <c r="B29" s="18" t="s">
        <v>258</v>
      </c>
      <c r="C29" s="20"/>
      <c r="D29" s="20">
        <v>-28.9</v>
      </c>
      <c r="E29" s="20"/>
      <c r="F29" s="20"/>
      <c r="G29" s="23"/>
    </row>
    <row r="30" ht="15.0" customHeight="1">
      <c r="A30" s="31"/>
      <c r="B30" s="28" t="s">
        <v>260</v>
      </c>
      <c r="C30" s="72">
        <f>-Kulut!D8</f>
        <v>-3784.22</v>
      </c>
      <c r="D30" s="30">
        <f t="shared" ref="D30:F30" si="4">SUM(D27:D29)</f>
        <v>-2186.5</v>
      </c>
      <c r="E30" s="30">
        <f t="shared" si="4"/>
        <v>-2193.69</v>
      </c>
      <c r="F30" s="30">
        <f t="shared" si="4"/>
        <v>-2300</v>
      </c>
      <c r="G30" s="31"/>
    </row>
    <row r="31" ht="15.75" customHeight="1">
      <c r="A31" s="1"/>
      <c r="B31" s="1"/>
      <c r="C31" s="1"/>
      <c r="D31" s="1"/>
      <c r="E31" s="1"/>
      <c r="F31" s="1"/>
      <c r="G31" s="1"/>
    </row>
    <row r="32" ht="15.0" customHeight="1">
      <c r="A32" s="7" t="s">
        <v>267</v>
      </c>
      <c r="B32" s="9"/>
      <c r="C32" s="9"/>
      <c r="D32" s="9"/>
      <c r="E32" s="9"/>
      <c r="F32" s="9"/>
      <c r="G32" s="9"/>
    </row>
    <row r="33" ht="15.0" customHeight="1">
      <c r="A33" s="19" t="s">
        <v>270</v>
      </c>
      <c r="B33" s="18" t="s">
        <v>271</v>
      </c>
      <c r="C33" s="20"/>
      <c r="D33" s="20">
        <v>-6514.9</v>
      </c>
      <c r="E33" s="20">
        <v>-6797.26</v>
      </c>
      <c r="F33" s="20">
        <v>-7000.0</v>
      </c>
      <c r="G33" s="23"/>
    </row>
    <row r="34" ht="15.0" customHeight="1">
      <c r="A34" s="19" t="s">
        <v>272</v>
      </c>
      <c r="B34" s="18" t="s">
        <v>273</v>
      </c>
      <c r="C34" s="20"/>
      <c r="D34" s="20">
        <v>-270.0</v>
      </c>
      <c r="E34" s="20">
        <v>-270.0</v>
      </c>
      <c r="F34" s="20">
        <v>-270.0</v>
      </c>
      <c r="G34" s="23"/>
    </row>
    <row r="35" ht="15.0" customHeight="1">
      <c r="A35" s="31"/>
      <c r="B35" s="28" t="s">
        <v>275</v>
      </c>
      <c r="C35" s="72">
        <f>-Kulut!D9</f>
        <v>-4995.73</v>
      </c>
      <c r="D35" s="30">
        <f t="shared" ref="D35:F35" si="5">SUM(D33:D34)</f>
        <v>-6784.9</v>
      </c>
      <c r="E35" s="30">
        <f t="shared" si="5"/>
        <v>-7067.26</v>
      </c>
      <c r="F35" s="30">
        <f t="shared" si="5"/>
        <v>-7270</v>
      </c>
      <c r="G35" s="31"/>
    </row>
    <row r="36" ht="15.75" customHeight="1">
      <c r="A36" s="1"/>
      <c r="B36" s="1"/>
      <c r="C36" s="1"/>
      <c r="D36" s="1"/>
      <c r="E36" s="1"/>
      <c r="F36" s="1"/>
      <c r="G36" s="1"/>
    </row>
    <row r="37" ht="15.0" customHeight="1">
      <c r="A37" s="7" t="s">
        <v>281</v>
      </c>
      <c r="B37" s="9"/>
      <c r="C37" s="9"/>
      <c r="D37" s="9"/>
      <c r="E37" s="9"/>
      <c r="F37" s="9"/>
      <c r="G37" s="9"/>
    </row>
    <row r="38" ht="15.0" customHeight="1">
      <c r="A38" s="19" t="s">
        <v>286</v>
      </c>
      <c r="B38" s="18" t="s">
        <v>287</v>
      </c>
      <c r="C38" s="20"/>
      <c r="D38" s="20">
        <v>-1795.67</v>
      </c>
      <c r="E38" s="20">
        <v>-1832.8</v>
      </c>
      <c r="F38" s="20">
        <v>-1900.0</v>
      </c>
      <c r="G38" s="23"/>
    </row>
    <row r="39" ht="15.0" customHeight="1">
      <c r="A39" s="19" t="s">
        <v>289</v>
      </c>
      <c r="B39" s="18" t="s">
        <v>290</v>
      </c>
      <c r="C39" s="20"/>
      <c r="D39" s="20">
        <v>-828.47</v>
      </c>
      <c r="E39" s="20">
        <v>-719.21</v>
      </c>
      <c r="F39" s="20">
        <v>-850.0</v>
      </c>
      <c r="G39" s="23"/>
    </row>
    <row r="40" ht="15.0" customHeight="1">
      <c r="A40" s="31"/>
      <c r="B40" s="28" t="s">
        <v>293</v>
      </c>
      <c r="C40" s="72">
        <f>-Kulut!D10</f>
        <v>-3070.51</v>
      </c>
      <c r="D40" s="30">
        <f t="shared" ref="D40:F40" si="6">SUM(D38:D39)</f>
        <v>-2624.14</v>
      </c>
      <c r="E40" s="30">
        <f t="shared" si="6"/>
        <v>-2552.01</v>
      </c>
      <c r="F40" s="30">
        <f t="shared" si="6"/>
        <v>-2750</v>
      </c>
      <c r="G40" s="31"/>
    </row>
    <row r="41" ht="15.75" customHeight="1">
      <c r="A41" s="1"/>
      <c r="B41" s="1"/>
      <c r="C41" s="1"/>
      <c r="D41" s="1"/>
      <c r="E41" s="1"/>
      <c r="F41" s="1"/>
      <c r="G41" s="1"/>
    </row>
    <row r="42" ht="15.0" customHeight="1">
      <c r="A42" s="7" t="s">
        <v>300</v>
      </c>
      <c r="B42" s="9"/>
      <c r="C42" s="9"/>
      <c r="D42" s="9"/>
      <c r="E42" s="9"/>
      <c r="F42" s="9"/>
      <c r="G42" s="9"/>
    </row>
    <row r="43" ht="15.0" customHeight="1">
      <c r="A43" s="19" t="s">
        <v>304</v>
      </c>
      <c r="B43" s="18" t="s">
        <v>105</v>
      </c>
      <c r="C43" s="20">
        <v>-3041.94</v>
      </c>
      <c r="D43" s="20">
        <v>-2873.98</v>
      </c>
      <c r="E43" s="20">
        <v>-2939.55</v>
      </c>
      <c r="F43" s="20">
        <v>-3000.0</v>
      </c>
      <c r="G43" s="23"/>
    </row>
    <row r="44" ht="15.0" customHeight="1">
      <c r="A44" s="31"/>
      <c r="B44" s="28" t="s">
        <v>307</v>
      </c>
      <c r="C44" s="30">
        <f t="shared" ref="C44:F44" si="7">SUM(C43)</f>
        <v>-3041.94</v>
      </c>
      <c r="D44" s="30">
        <f t="shared" si="7"/>
        <v>-2873.98</v>
      </c>
      <c r="E44" s="30">
        <f t="shared" si="7"/>
        <v>-2939.55</v>
      </c>
      <c r="F44" s="30">
        <f t="shared" si="7"/>
        <v>-3000</v>
      </c>
      <c r="G44" s="31"/>
    </row>
    <row r="45" ht="15.75" customHeight="1">
      <c r="A45" s="1"/>
      <c r="B45" s="1"/>
      <c r="C45" s="1"/>
      <c r="D45" s="1"/>
      <c r="E45" s="1"/>
      <c r="F45" s="1"/>
      <c r="G45" s="1"/>
    </row>
    <row r="46" ht="15.0" customHeight="1">
      <c r="A46" s="7" t="s">
        <v>311</v>
      </c>
      <c r="B46" s="9"/>
      <c r="C46" s="9"/>
      <c r="D46" s="9"/>
      <c r="E46" s="9"/>
      <c r="F46" s="9"/>
      <c r="G46" s="9"/>
    </row>
    <row r="47" ht="15.0" customHeight="1">
      <c r="A47" s="19" t="s">
        <v>314</v>
      </c>
      <c r="B47" s="18" t="s">
        <v>315</v>
      </c>
      <c r="C47" s="20"/>
      <c r="D47" s="20">
        <v>-1572.16</v>
      </c>
      <c r="E47" s="20">
        <v>-1265.13</v>
      </c>
      <c r="F47" s="20">
        <v>-1255.86</v>
      </c>
      <c r="G47" s="23"/>
    </row>
    <row r="48" ht="15.0" customHeight="1">
      <c r="A48" s="19" t="s">
        <v>317</v>
      </c>
      <c r="B48" s="18" t="s">
        <v>320</v>
      </c>
      <c r="C48" s="20"/>
      <c r="D48" s="20">
        <v>-160.0</v>
      </c>
      <c r="E48" s="20">
        <v>-165.0</v>
      </c>
      <c r="F48" s="20">
        <v>-169.0</v>
      </c>
      <c r="G48" s="23"/>
    </row>
    <row r="49" ht="15.0" customHeight="1">
      <c r="A49" s="19" t="s">
        <v>323</v>
      </c>
      <c r="B49" s="18" t="s">
        <v>324</v>
      </c>
      <c r="C49" s="20"/>
      <c r="D49" s="20">
        <v>-79.0</v>
      </c>
      <c r="E49" s="20">
        <v>-83.0</v>
      </c>
      <c r="F49" s="20">
        <v>-86.0</v>
      </c>
      <c r="G49" s="23"/>
    </row>
    <row r="50" ht="15.0" customHeight="1">
      <c r="A50" s="19" t="s">
        <v>329</v>
      </c>
      <c r="B50" s="18" t="s">
        <v>330</v>
      </c>
      <c r="C50" s="20"/>
      <c r="D50" s="20">
        <v>-152.0</v>
      </c>
      <c r="E50" s="20">
        <v>-159.0</v>
      </c>
      <c r="F50" s="20">
        <v>-165.0</v>
      </c>
      <c r="G50" s="23"/>
    </row>
    <row r="51" ht="15.0" customHeight="1">
      <c r="A51" s="19" t="s">
        <v>331</v>
      </c>
      <c r="B51" s="18" t="s">
        <v>332</v>
      </c>
      <c r="C51" s="20"/>
      <c r="D51" s="20">
        <v>-184.8</v>
      </c>
      <c r="E51" s="20">
        <v>-206.28</v>
      </c>
      <c r="F51" s="20">
        <v>-233.47</v>
      </c>
      <c r="G51" s="23"/>
    </row>
    <row r="52" ht="15.0" customHeight="1">
      <c r="A52" s="31"/>
      <c r="B52" s="28" t="s">
        <v>336</v>
      </c>
      <c r="C52" s="72">
        <f>-Kulut!D12</f>
        <v>-2809.46</v>
      </c>
      <c r="D52" s="30">
        <f t="shared" ref="D52:F52" si="8">SUM(D47:D51)</f>
        <v>-2147.96</v>
      </c>
      <c r="E52" s="30">
        <f t="shared" si="8"/>
        <v>-1878.41</v>
      </c>
      <c r="F52" s="30">
        <f t="shared" si="8"/>
        <v>-1909.33</v>
      </c>
      <c r="G52" s="31"/>
    </row>
    <row r="53" ht="15.75" customHeight="1">
      <c r="A53" s="1"/>
      <c r="B53" s="1"/>
      <c r="C53" s="1"/>
      <c r="D53" s="1"/>
      <c r="E53" s="1"/>
      <c r="F53" s="1"/>
      <c r="G53" s="1"/>
    </row>
    <row r="54" ht="15.0" customHeight="1">
      <c r="A54" s="7" t="s">
        <v>339</v>
      </c>
      <c r="B54" s="9"/>
      <c r="C54" s="9"/>
      <c r="D54" s="9"/>
      <c r="E54" s="9"/>
      <c r="F54" s="9"/>
      <c r="G54" s="9"/>
    </row>
    <row r="55" ht="15.0" customHeight="1">
      <c r="A55" s="19" t="s">
        <v>341</v>
      </c>
      <c r="B55" s="18" t="s">
        <v>113</v>
      </c>
      <c r="C55" s="20">
        <v>-4845.6</v>
      </c>
      <c r="D55" s="20">
        <v>-4859.13</v>
      </c>
      <c r="E55" s="20">
        <v>-4813.44</v>
      </c>
      <c r="F55" s="20">
        <v>-4756.44</v>
      </c>
      <c r="G55" s="23"/>
    </row>
    <row r="56" ht="15.0" customHeight="1">
      <c r="A56" s="31"/>
      <c r="B56" s="28" t="s">
        <v>342</v>
      </c>
      <c r="C56" s="30">
        <f t="shared" ref="C56:F56" si="9">SUM(C55)</f>
        <v>-4845.6</v>
      </c>
      <c r="D56" s="30">
        <f t="shared" si="9"/>
        <v>-4859.13</v>
      </c>
      <c r="E56" s="30">
        <f t="shared" si="9"/>
        <v>-4813.44</v>
      </c>
      <c r="F56" s="30">
        <f t="shared" si="9"/>
        <v>-4756.44</v>
      </c>
      <c r="G56" s="31"/>
    </row>
    <row r="57" ht="15.75" customHeight="1">
      <c r="A57" s="1"/>
      <c r="B57" s="1"/>
      <c r="C57" s="1"/>
      <c r="D57" s="1"/>
      <c r="E57" s="1"/>
      <c r="F57" s="1"/>
      <c r="G57" s="1"/>
    </row>
    <row r="58" ht="15.0" customHeight="1">
      <c r="A58" s="7" t="s">
        <v>345</v>
      </c>
      <c r="B58" s="9"/>
      <c r="C58" s="9"/>
      <c r="D58" s="9"/>
      <c r="E58" s="9"/>
      <c r="F58" s="9"/>
      <c r="G58" s="9"/>
    </row>
    <row r="59" ht="15.0" customHeight="1">
      <c r="A59" s="19" t="s">
        <v>348</v>
      </c>
      <c r="B59" s="18" t="s">
        <v>349</v>
      </c>
      <c r="C59" s="20"/>
      <c r="D59" s="20">
        <v>-1900.0</v>
      </c>
      <c r="E59" s="20"/>
      <c r="F59" s="20"/>
      <c r="G59" s="23"/>
    </row>
    <row r="60" ht="15.0" customHeight="1">
      <c r="A60" s="19" t="s">
        <v>350</v>
      </c>
      <c r="B60" s="18" t="s">
        <v>351</v>
      </c>
      <c r="C60" s="20"/>
      <c r="D60" s="20"/>
      <c r="E60" s="20">
        <v>-30.0</v>
      </c>
      <c r="F60" s="20"/>
      <c r="G60" s="23"/>
    </row>
    <row r="61" ht="15.0" customHeight="1">
      <c r="A61" s="19" t="s">
        <v>354</v>
      </c>
      <c r="B61" s="18" t="s">
        <v>355</v>
      </c>
      <c r="C61" s="20"/>
      <c r="D61" s="20"/>
      <c r="E61" s="20">
        <v>-243.47</v>
      </c>
      <c r="F61" s="20"/>
      <c r="G61" s="23"/>
    </row>
    <row r="62" ht="15.0" customHeight="1">
      <c r="A62" s="19" t="s">
        <v>358</v>
      </c>
      <c r="B62" s="18" t="s">
        <v>359</v>
      </c>
      <c r="C62" s="20">
        <v>-354.6</v>
      </c>
      <c r="D62" s="20">
        <v>-1405.07</v>
      </c>
      <c r="E62" s="20"/>
      <c r="F62" s="20"/>
      <c r="G62" s="29" t="s">
        <v>360</v>
      </c>
    </row>
    <row r="63" ht="15.0" customHeight="1">
      <c r="A63" s="19" t="s">
        <v>361</v>
      </c>
      <c r="B63" s="18" t="s">
        <v>362</v>
      </c>
      <c r="C63" s="20"/>
      <c r="D63" s="20"/>
      <c r="E63" s="20">
        <v>-740.57</v>
      </c>
      <c r="F63" s="20"/>
      <c r="G63" s="23"/>
    </row>
    <row r="64" ht="15.0" customHeight="1">
      <c r="A64" s="19" t="s">
        <v>363</v>
      </c>
      <c r="B64" s="18" t="s">
        <v>364</v>
      </c>
      <c r="C64" s="20">
        <v>-144.98</v>
      </c>
      <c r="D64" s="20">
        <v>-308.59</v>
      </c>
      <c r="E64" s="20">
        <v>-1714.14</v>
      </c>
      <c r="F64" s="20"/>
      <c r="G64" s="23"/>
    </row>
    <row r="65" ht="15.0" customHeight="1">
      <c r="A65" s="19" t="s">
        <v>365</v>
      </c>
      <c r="B65" s="18" t="s">
        <v>366</v>
      </c>
      <c r="C65" s="20"/>
      <c r="D65" s="20">
        <v>-908.43</v>
      </c>
      <c r="E65" s="20">
        <v>-371.82</v>
      </c>
      <c r="F65" s="20"/>
      <c r="G65" s="23"/>
    </row>
    <row r="66" ht="15.0" customHeight="1">
      <c r="A66" s="19" t="s">
        <v>367</v>
      </c>
      <c r="B66" s="18" t="s">
        <v>368</v>
      </c>
      <c r="C66" s="20"/>
      <c r="D66" s="20"/>
      <c r="E66" s="20">
        <v>-451.8</v>
      </c>
      <c r="F66" s="20"/>
      <c r="G66" s="23"/>
    </row>
    <row r="67" ht="15.0" customHeight="1">
      <c r="A67" s="19" t="s">
        <v>369</v>
      </c>
      <c r="B67" s="18" t="s">
        <v>370</v>
      </c>
      <c r="C67" s="20">
        <v>-545.48</v>
      </c>
      <c r="D67" s="20">
        <v>-826.44</v>
      </c>
      <c r="E67" s="20">
        <v>-329.75</v>
      </c>
      <c r="F67" s="20"/>
      <c r="G67" s="23"/>
    </row>
    <row r="68" ht="26.25" customHeight="1">
      <c r="A68" s="19"/>
      <c r="B68" s="18" t="s">
        <v>371</v>
      </c>
      <c r="C68" s="20">
        <v>-340.0</v>
      </c>
      <c r="D68" s="20"/>
      <c r="E68" s="20"/>
      <c r="F68" s="20"/>
      <c r="G68" s="29" t="s">
        <v>372</v>
      </c>
    </row>
    <row r="69" ht="26.25" customHeight="1">
      <c r="A69" s="19" t="s">
        <v>373</v>
      </c>
      <c r="B69" s="18" t="s">
        <v>374</v>
      </c>
      <c r="C69" s="20"/>
      <c r="D69" s="20"/>
      <c r="E69" s="20"/>
      <c r="F69" s="20">
        <v>-9680.0</v>
      </c>
      <c r="G69" s="29" t="s">
        <v>375</v>
      </c>
    </row>
    <row r="70" ht="15.0" customHeight="1">
      <c r="A70" s="31"/>
      <c r="B70" s="28" t="s">
        <v>376</v>
      </c>
      <c r="C70" s="30">
        <f t="shared" ref="C70:F70" si="10">SUM(C59:C69)</f>
        <v>-1385.06</v>
      </c>
      <c r="D70" s="30">
        <f t="shared" si="10"/>
        <v>-5348.53</v>
      </c>
      <c r="E70" s="30">
        <f t="shared" si="10"/>
        <v>-3881.55</v>
      </c>
      <c r="F70" s="30">
        <f t="shared" si="10"/>
        <v>-9680</v>
      </c>
      <c r="G70" s="31"/>
    </row>
    <row r="71" ht="15.75" customHeight="1">
      <c r="A71" s="1"/>
      <c r="B71" s="1"/>
      <c r="C71" s="1"/>
      <c r="D71" s="1"/>
      <c r="E71" s="1"/>
      <c r="F71" s="1"/>
      <c r="G71" s="1"/>
    </row>
    <row r="72" ht="15.0" customHeight="1">
      <c r="A72" s="79"/>
      <c r="B72" s="73" t="s">
        <v>377</v>
      </c>
      <c r="C72" s="74">
        <f t="shared" ref="C72:F72" si="11">C7+C18+C24+C30+C35+C40+C44+C52+C56+C70</f>
        <v>-34271.63</v>
      </c>
      <c r="D72" s="74">
        <f t="shared" si="11"/>
        <v>-36761.19</v>
      </c>
      <c r="E72" s="74">
        <f t="shared" si="11"/>
        <v>-37911.01</v>
      </c>
      <c r="F72" s="74">
        <f t="shared" si="11"/>
        <v>-43470.09</v>
      </c>
      <c r="G72" s="79"/>
    </row>
    <row r="73" ht="15.75" customHeight="1">
      <c r="A73" s="1"/>
      <c r="B73" s="1"/>
      <c r="C73" s="1"/>
      <c r="D73" s="1"/>
      <c r="E73" s="1"/>
      <c r="F73" s="1"/>
      <c r="G73" s="1"/>
    </row>
    <row r="74" ht="45.0" customHeight="1">
      <c r="A74" s="45" t="s">
        <v>378</v>
      </c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1">
    <mergeCell ref="A74:G74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8" width="12.0"/>
    <col customWidth="1" min="9" max="9" width="11.0"/>
    <col customWidth="1" min="10" max="10" width="26.0"/>
    <col customWidth="1" min="11" max="26" width="8.71"/>
  </cols>
  <sheetData>
    <row r="1" ht="17.25" customHeight="1">
      <c r="A1" s="2" t="s">
        <v>255</v>
      </c>
      <c r="B1" s="1"/>
      <c r="C1" s="1"/>
      <c r="D1" s="1"/>
      <c r="E1" s="1"/>
      <c r="F1" s="1"/>
      <c r="G1" s="1"/>
      <c r="H1" s="1"/>
      <c r="I1" s="1"/>
      <c r="J1" s="1"/>
    </row>
    <row r="2" ht="15.0" customHeight="1">
      <c r="A2" s="8" t="s">
        <v>13</v>
      </c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 ht="27.75" customHeight="1">
      <c r="A4" s="14" t="s">
        <v>17</v>
      </c>
      <c r="B4" s="14" t="s">
        <v>22</v>
      </c>
      <c r="C4" s="14" t="s">
        <v>41</v>
      </c>
      <c r="D4" s="14" t="s">
        <v>25</v>
      </c>
      <c r="E4" s="14" t="s">
        <v>40</v>
      </c>
      <c r="F4" s="14" t="s">
        <v>27</v>
      </c>
      <c r="G4" s="14" t="s">
        <v>29</v>
      </c>
      <c r="H4" s="14" t="s">
        <v>32</v>
      </c>
      <c r="I4" s="14" t="s">
        <v>36</v>
      </c>
      <c r="J4" s="14" t="s">
        <v>37</v>
      </c>
    </row>
    <row r="5" ht="26.25" customHeight="1">
      <c r="A5" s="18" t="s">
        <v>269</v>
      </c>
      <c r="B5" s="20">
        <v>36237.38</v>
      </c>
      <c r="C5" s="20">
        <v>35609.69</v>
      </c>
      <c r="D5" s="20">
        <v>40666.93</v>
      </c>
      <c r="E5" s="20">
        <v>40252.0</v>
      </c>
      <c r="F5" s="20">
        <v>43150.75</v>
      </c>
      <c r="G5" s="20">
        <v>42187.0</v>
      </c>
      <c r="H5" s="20">
        <v>42714.26</v>
      </c>
      <c r="I5" s="25">
        <f t="shared" ref="I5:I8" si="1">IFERROR((F5-D5)/D5,"")</f>
        <v>0.06107714548</v>
      </c>
      <c r="J5" s="23" t="s">
        <v>276</v>
      </c>
    </row>
    <row r="6" ht="15.0" customHeight="1">
      <c r="A6" s="18" t="s">
        <v>278</v>
      </c>
      <c r="B6" s="20">
        <v>720.0</v>
      </c>
      <c r="C6" s="20">
        <v>650.0</v>
      </c>
      <c r="D6" s="20">
        <v>756.0</v>
      </c>
      <c r="E6" s="20">
        <v>756.0</v>
      </c>
      <c r="F6" s="20">
        <v>756.0</v>
      </c>
      <c r="G6" s="20">
        <v>756.0</v>
      </c>
      <c r="H6" s="20">
        <v>756.0</v>
      </c>
      <c r="I6" s="25">
        <f t="shared" si="1"/>
        <v>0</v>
      </c>
      <c r="J6" s="23"/>
    </row>
    <row r="7" ht="15.0" customHeight="1">
      <c r="A7" s="18" t="s">
        <v>280</v>
      </c>
      <c r="B7" s="20">
        <v>250.0</v>
      </c>
      <c r="C7" s="20">
        <v>0.0</v>
      </c>
      <c r="D7" s="20">
        <v>0.0</v>
      </c>
      <c r="E7" s="20">
        <v>0.0</v>
      </c>
      <c r="F7" s="20">
        <v>0.0</v>
      </c>
      <c r="G7" s="20">
        <v>0.0</v>
      </c>
      <c r="H7" s="20">
        <v>0.0</v>
      </c>
      <c r="I7" s="25" t="str">
        <f t="shared" si="1"/>
        <v/>
      </c>
      <c r="J7" s="23" t="s">
        <v>282</v>
      </c>
    </row>
    <row r="8" ht="15.0" customHeight="1">
      <c r="A8" s="28" t="s">
        <v>122</v>
      </c>
      <c r="B8" s="30">
        <f t="shared" ref="B8:H8" si="2">SUM(B5:B7)</f>
        <v>37207.38</v>
      </c>
      <c r="C8" s="30">
        <f t="shared" si="2"/>
        <v>36259.69</v>
      </c>
      <c r="D8" s="30">
        <f t="shared" si="2"/>
        <v>41422.93</v>
      </c>
      <c r="E8" s="30">
        <f t="shared" si="2"/>
        <v>41008</v>
      </c>
      <c r="F8" s="30">
        <f t="shared" si="2"/>
        <v>43906.75</v>
      </c>
      <c r="G8" s="30">
        <f t="shared" si="2"/>
        <v>42943</v>
      </c>
      <c r="H8" s="30">
        <f t="shared" si="2"/>
        <v>43470.26</v>
      </c>
      <c r="I8" s="34">
        <f t="shared" si="1"/>
        <v>0.05996244109</v>
      </c>
      <c r="J8" s="3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ht="15.0" customHeight="1">
      <c r="A11" s="4" t="s">
        <v>291</v>
      </c>
      <c r="B11" s="1"/>
      <c r="C11" s="1"/>
      <c r="D11" s="1"/>
      <c r="E11" s="1"/>
      <c r="F11" s="1"/>
      <c r="G11" s="1"/>
      <c r="H11" s="1"/>
      <c r="I11" s="1"/>
      <c r="J11" s="1"/>
    </row>
    <row r="12" ht="26.25" customHeight="1">
      <c r="A12" s="14" t="s">
        <v>216</v>
      </c>
      <c r="B12" s="14" t="s">
        <v>217</v>
      </c>
      <c r="C12" s="14" t="s">
        <v>22</v>
      </c>
      <c r="D12" s="14" t="s">
        <v>25</v>
      </c>
      <c r="E12" s="14" t="s">
        <v>27</v>
      </c>
      <c r="F12" s="14" t="s">
        <v>32</v>
      </c>
      <c r="G12" s="1"/>
      <c r="H12" s="1"/>
      <c r="I12" s="1"/>
      <c r="J12" s="1"/>
    </row>
    <row r="13" ht="15.0" customHeight="1">
      <c r="A13" s="19" t="s">
        <v>294</v>
      </c>
      <c r="B13" s="18" t="s">
        <v>295</v>
      </c>
      <c r="C13" s="20"/>
      <c r="D13" s="20">
        <v>33929.88</v>
      </c>
      <c r="E13" s="20">
        <v>35642.4</v>
      </c>
      <c r="F13" s="20">
        <v>35642.04</v>
      </c>
      <c r="G13" s="1"/>
      <c r="H13" s="1"/>
      <c r="I13" s="1"/>
      <c r="J13" s="1"/>
    </row>
    <row r="14" ht="15.0" customHeight="1">
      <c r="A14" s="19" t="s">
        <v>296</v>
      </c>
      <c r="B14" s="18" t="s">
        <v>297</v>
      </c>
      <c r="C14" s="20"/>
      <c r="D14" s="20">
        <v>1006.26</v>
      </c>
      <c r="E14" s="20">
        <v>1056.96</v>
      </c>
      <c r="F14" s="20">
        <v>1057.12</v>
      </c>
      <c r="G14" s="1"/>
      <c r="H14" s="1"/>
      <c r="I14" s="1"/>
      <c r="J14" s="1"/>
    </row>
    <row r="15" ht="15.0" customHeight="1">
      <c r="A15" s="19" t="s">
        <v>298</v>
      </c>
      <c r="B15" s="18" t="s">
        <v>299</v>
      </c>
      <c r="C15" s="20">
        <v>3527.5</v>
      </c>
      <c r="D15" s="20">
        <v>4414.15</v>
      </c>
      <c r="E15" s="20">
        <v>5119.41</v>
      </c>
      <c r="F15" s="20">
        <v>4683.12</v>
      </c>
      <c r="G15" s="1"/>
      <c r="H15" s="1"/>
      <c r="I15" s="1"/>
      <c r="J15" s="1"/>
    </row>
    <row r="16" ht="15.0" customHeight="1">
      <c r="A16" s="19" t="s">
        <v>301</v>
      </c>
      <c r="B16" s="18" t="s">
        <v>302</v>
      </c>
      <c r="C16" s="20"/>
      <c r="D16" s="20">
        <v>1316.64</v>
      </c>
      <c r="E16" s="20">
        <v>1331.98</v>
      </c>
      <c r="F16" s="20">
        <v>1331.98</v>
      </c>
      <c r="G16" s="1"/>
      <c r="H16" s="1"/>
      <c r="I16" s="1"/>
      <c r="J16" s="1"/>
    </row>
    <row r="17" ht="15.0" customHeight="1">
      <c r="A17" s="31"/>
      <c r="B17" s="28" t="s">
        <v>308</v>
      </c>
      <c r="C17" s="72">
        <f>B5</f>
        <v>36237.38</v>
      </c>
      <c r="D17" s="30">
        <f t="shared" ref="D17:F17" si="3">SUM(D13:D16)</f>
        <v>40666.93</v>
      </c>
      <c r="E17" s="30">
        <f t="shared" si="3"/>
        <v>43150.75</v>
      </c>
      <c r="F17" s="30">
        <f t="shared" si="3"/>
        <v>42714.26</v>
      </c>
      <c r="G17" s="1"/>
      <c r="H17" s="1"/>
      <c r="I17" s="1"/>
      <c r="J17" s="1"/>
    </row>
    <row r="18" ht="30.0" customHeight="1">
      <c r="A18" s="45" t="s">
        <v>312</v>
      </c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15.0" customHeight="1">
      <c r="A21" s="4" t="s">
        <v>318</v>
      </c>
      <c r="B21" s="1"/>
      <c r="C21" s="1"/>
      <c r="D21" s="1"/>
      <c r="E21" s="1"/>
      <c r="F21" s="1"/>
      <c r="G21" s="1"/>
      <c r="H21" s="1"/>
      <c r="I21" s="1"/>
      <c r="J21" s="1"/>
    </row>
    <row r="22" ht="26.25" customHeight="1">
      <c r="A22" s="14" t="s">
        <v>151</v>
      </c>
      <c r="B22" s="14" t="s">
        <v>322</v>
      </c>
      <c r="C22" s="14" t="s">
        <v>325</v>
      </c>
      <c r="D22" s="14" t="s">
        <v>326</v>
      </c>
      <c r="E22" s="14" t="s">
        <v>327</v>
      </c>
      <c r="F22" s="1"/>
      <c r="G22" s="1"/>
      <c r="H22" s="1"/>
      <c r="I22" s="1"/>
      <c r="J22" s="1"/>
    </row>
    <row r="23" ht="15.0" customHeight="1">
      <c r="A23" s="18" t="s">
        <v>22</v>
      </c>
      <c r="B23" s="17">
        <f>B8</f>
        <v>37207.38</v>
      </c>
      <c r="C23" s="17">
        <f>ABS(Kulut!D15)</f>
        <v>34271.63</v>
      </c>
      <c r="D23" s="24">
        <f t="shared" ref="D23:D27" si="4">B23-C23</f>
        <v>2935.75</v>
      </c>
      <c r="E23" s="25">
        <f t="shared" ref="E23:E27" si="5">IFERROR(D23/B23,"")</f>
        <v>0.07890235754</v>
      </c>
      <c r="F23" s="1"/>
      <c r="G23" s="1"/>
      <c r="H23" s="1"/>
      <c r="I23" s="1"/>
      <c r="J23" s="1"/>
    </row>
    <row r="24" ht="15.0" customHeight="1">
      <c r="A24" s="18" t="s">
        <v>25</v>
      </c>
      <c r="B24" s="17">
        <f>D8</f>
        <v>41422.93</v>
      </c>
      <c r="C24" s="17">
        <f>ABS(Kulut!E15)</f>
        <v>36761.19</v>
      </c>
      <c r="D24" s="24">
        <f t="shared" si="4"/>
        <v>4661.74</v>
      </c>
      <c r="E24" s="25">
        <f t="shared" si="5"/>
        <v>0.1125400835</v>
      </c>
      <c r="F24" s="1"/>
      <c r="G24" s="1"/>
      <c r="H24" s="1"/>
      <c r="I24" s="1"/>
      <c r="J24" s="1"/>
    </row>
    <row r="25" ht="15.0" customHeight="1">
      <c r="A25" s="18" t="s">
        <v>27</v>
      </c>
      <c r="B25" s="17">
        <f>F8</f>
        <v>43906.75</v>
      </c>
      <c r="C25" s="17">
        <f>ABS(Kulut!F15)</f>
        <v>37911.01</v>
      </c>
      <c r="D25" s="24">
        <f t="shared" si="4"/>
        <v>5995.74</v>
      </c>
      <c r="E25" s="25">
        <f t="shared" si="5"/>
        <v>0.1365562243</v>
      </c>
      <c r="F25" s="1"/>
      <c r="G25" s="1"/>
      <c r="H25" s="1"/>
      <c r="I25" s="1"/>
      <c r="J25" s="1"/>
    </row>
    <row r="26" ht="15.0" customHeight="1">
      <c r="A26" s="18" t="s">
        <v>29</v>
      </c>
      <c r="B26" s="17">
        <f>G8</f>
        <v>42943</v>
      </c>
      <c r="C26" s="17">
        <f>ABS(Kulut!G15)</f>
        <v>42935.71</v>
      </c>
      <c r="D26" s="24">
        <f t="shared" si="4"/>
        <v>7.29</v>
      </c>
      <c r="E26" s="25">
        <f t="shared" si="5"/>
        <v>0.0001697599143</v>
      </c>
      <c r="F26" s="1"/>
      <c r="G26" s="1"/>
      <c r="H26" s="1"/>
      <c r="I26" s="1"/>
      <c r="J26" s="1"/>
    </row>
    <row r="27" ht="15.0" customHeight="1">
      <c r="A27" s="18" t="s">
        <v>32</v>
      </c>
      <c r="B27" s="17">
        <f>H8</f>
        <v>43470.26</v>
      </c>
      <c r="C27" s="17">
        <f>ABS(Kulut!H15)</f>
        <v>43470.09</v>
      </c>
      <c r="D27" s="24">
        <f t="shared" si="4"/>
        <v>0.17</v>
      </c>
      <c r="E27" s="25">
        <f t="shared" si="5"/>
        <v>0.000003910719651</v>
      </c>
      <c r="F27" s="1"/>
      <c r="G27" s="1"/>
      <c r="H27" s="1"/>
      <c r="I27" s="1"/>
      <c r="J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5.0" customHeight="1">
      <c r="A29" s="45" t="s">
        <v>346</v>
      </c>
      <c r="F29" s="1"/>
      <c r="G29" s="1"/>
      <c r="H29" s="1"/>
      <c r="I29" s="1"/>
      <c r="J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2">
    <mergeCell ref="A18:F18"/>
    <mergeCell ref="A29:E29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6.0"/>
    <col customWidth="1" min="2" max="3" width="15.0"/>
    <col customWidth="1" min="4" max="4" width="13.0"/>
    <col customWidth="1" min="5" max="26" width="8.71"/>
  </cols>
  <sheetData>
    <row r="1" ht="17.25" customHeight="1">
      <c r="A1" s="2" t="s">
        <v>256</v>
      </c>
      <c r="B1" s="1"/>
      <c r="C1" s="1"/>
      <c r="D1" s="1"/>
    </row>
    <row r="2" ht="27.75" customHeight="1">
      <c r="A2" s="3" t="s">
        <v>259</v>
      </c>
      <c r="B2" s="1"/>
      <c r="C2" s="1"/>
      <c r="D2" s="1"/>
    </row>
    <row r="3">
      <c r="A3" s="1"/>
      <c r="B3" s="1"/>
      <c r="C3" s="1"/>
      <c r="D3" s="1"/>
    </row>
    <row r="4" ht="15.0" customHeight="1">
      <c r="A4" s="14" t="s">
        <v>261</v>
      </c>
      <c r="B4" s="14" t="s">
        <v>262</v>
      </c>
      <c r="C4" s="14" t="s">
        <v>263</v>
      </c>
      <c r="D4" s="14" t="s">
        <v>264</v>
      </c>
    </row>
    <row r="5" ht="15.0" customHeight="1">
      <c r="A5" s="7" t="s">
        <v>265</v>
      </c>
      <c r="B5" s="9"/>
      <c r="C5" s="9"/>
      <c r="D5" s="9"/>
    </row>
    <row r="6" ht="15.0" customHeight="1">
      <c r="A6" s="4" t="s">
        <v>266</v>
      </c>
      <c r="B6" s="1"/>
      <c r="C6" s="1"/>
      <c r="D6" s="1"/>
    </row>
    <row r="7" ht="15.0" customHeight="1">
      <c r="A7" s="18" t="s">
        <v>268</v>
      </c>
      <c r="B7" s="20">
        <v>111176.0</v>
      </c>
      <c r="C7" s="20">
        <v>111176.0</v>
      </c>
      <c r="D7" s="24">
        <f t="shared" ref="D7:D10" si="1">C7-B7</f>
        <v>0</v>
      </c>
    </row>
    <row r="8" ht="15.0" customHeight="1">
      <c r="A8" s="18" t="s">
        <v>274</v>
      </c>
      <c r="B8" s="20">
        <v>27553.6</v>
      </c>
      <c r="C8" s="20">
        <v>27553.6</v>
      </c>
      <c r="D8" s="24">
        <f t="shared" si="1"/>
        <v>0</v>
      </c>
    </row>
    <row r="9" ht="15.0" customHeight="1">
      <c r="A9" s="18" t="s">
        <v>277</v>
      </c>
      <c r="B9" s="20">
        <v>1593017.83</v>
      </c>
      <c r="C9" s="20">
        <v>1592195.83</v>
      </c>
      <c r="D9" s="24">
        <f t="shared" si="1"/>
        <v>-822</v>
      </c>
    </row>
    <row r="10" ht="15.0" customHeight="1">
      <c r="A10" s="28" t="s">
        <v>279</v>
      </c>
      <c r="B10" s="30">
        <f t="shared" ref="B10:C10" si="2">SUM(B7:B9)</f>
        <v>1731747.43</v>
      </c>
      <c r="C10" s="30">
        <f t="shared" si="2"/>
        <v>1730925.43</v>
      </c>
      <c r="D10" s="30">
        <f t="shared" si="1"/>
        <v>-822</v>
      </c>
    </row>
    <row r="11">
      <c r="A11" s="1"/>
      <c r="B11" s="1"/>
      <c r="C11" s="1"/>
      <c r="D11" s="1"/>
    </row>
    <row r="12" ht="15.0" customHeight="1">
      <c r="A12" s="4" t="s">
        <v>283</v>
      </c>
      <c r="B12" s="1"/>
      <c r="C12" s="1"/>
      <c r="D12" s="1"/>
    </row>
    <row r="13" ht="15.0" customHeight="1">
      <c r="A13" s="18" t="s">
        <v>284</v>
      </c>
      <c r="B13" s="20">
        <v>954.76</v>
      </c>
      <c r="C13" s="20">
        <v>1265.22</v>
      </c>
      <c r="D13" s="24">
        <f t="shared" ref="D13:D15" si="3">C13-B13</f>
        <v>310.46</v>
      </c>
    </row>
    <row r="14" ht="15.0" customHeight="1">
      <c r="A14" s="18" t="s">
        <v>285</v>
      </c>
      <c r="B14" s="20">
        <v>16976.69</v>
      </c>
      <c r="C14" s="20">
        <v>22208.49</v>
      </c>
      <c r="D14" s="24">
        <f t="shared" si="3"/>
        <v>5231.8</v>
      </c>
    </row>
    <row r="15" ht="15.0" customHeight="1">
      <c r="A15" s="28" t="s">
        <v>288</v>
      </c>
      <c r="B15" s="30">
        <f t="shared" ref="B15:C15" si="4">SUM(B13:B14)</f>
        <v>17931.45</v>
      </c>
      <c r="C15" s="30">
        <f t="shared" si="4"/>
        <v>23473.71</v>
      </c>
      <c r="D15" s="30">
        <f t="shared" si="3"/>
        <v>5542.26</v>
      </c>
    </row>
    <row r="16">
      <c r="A16" s="1"/>
      <c r="B16" s="1"/>
      <c r="C16" s="1"/>
      <c r="D16" s="1"/>
    </row>
    <row r="17" ht="15.0" customHeight="1">
      <c r="A17" s="73" t="s">
        <v>292</v>
      </c>
      <c r="B17" s="74">
        <f t="shared" ref="B17:C17" si="5">B10+B15</f>
        <v>1749678.88</v>
      </c>
      <c r="C17" s="74">
        <f t="shared" si="5"/>
        <v>1754399.14</v>
      </c>
      <c r="D17" s="74">
        <f>C17-B17</f>
        <v>4720.26</v>
      </c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 ht="15.0" customHeight="1">
      <c r="A20" s="7" t="s">
        <v>303</v>
      </c>
      <c r="B20" s="9"/>
      <c r="C20" s="9"/>
      <c r="D20" s="9"/>
    </row>
    <row r="21" ht="15.0" customHeight="1">
      <c r="A21" s="4" t="s">
        <v>305</v>
      </c>
      <c r="B21" s="1"/>
      <c r="C21" s="1"/>
      <c r="D21" s="1"/>
    </row>
    <row r="22" ht="15.0" customHeight="1">
      <c r="A22" s="18" t="s">
        <v>306</v>
      </c>
      <c r="B22" s="20">
        <v>8199.0</v>
      </c>
      <c r="C22" s="20">
        <v>8199.0</v>
      </c>
      <c r="D22" s="24">
        <f t="shared" ref="D22:D24" si="6">C22-B22</f>
        <v>0</v>
      </c>
    </row>
    <row r="23" ht="15.0" customHeight="1">
      <c r="A23" s="18" t="s">
        <v>309</v>
      </c>
      <c r="B23" s="20">
        <v>1093720.65</v>
      </c>
      <c r="C23" s="20">
        <v>1093720.65</v>
      </c>
      <c r="D23" s="24">
        <f t="shared" si="6"/>
        <v>0</v>
      </c>
    </row>
    <row r="24" ht="15.0" customHeight="1">
      <c r="A24" s="28" t="s">
        <v>310</v>
      </c>
      <c r="B24" s="30">
        <f t="shared" ref="B24:C24" si="7">SUM(B22:B23)</f>
        <v>1101919.65</v>
      </c>
      <c r="C24" s="30">
        <f t="shared" si="7"/>
        <v>1101919.65</v>
      </c>
      <c r="D24" s="30">
        <f t="shared" si="6"/>
        <v>0</v>
      </c>
    </row>
    <row r="25" ht="15.75" customHeight="1">
      <c r="A25" s="1"/>
      <c r="B25" s="1"/>
      <c r="C25" s="1"/>
      <c r="D25" s="1"/>
    </row>
    <row r="26" ht="15.0" customHeight="1">
      <c r="A26" s="4" t="s">
        <v>313</v>
      </c>
      <c r="B26" s="1"/>
      <c r="C26" s="1"/>
      <c r="D26" s="1"/>
    </row>
    <row r="27" ht="15.0" customHeight="1">
      <c r="A27" s="18" t="s">
        <v>316</v>
      </c>
      <c r="B27" s="20">
        <v>650000.0</v>
      </c>
      <c r="C27" s="20">
        <v>650000.0</v>
      </c>
      <c r="D27" s="24">
        <f t="shared" ref="D27:D29" si="8">C27-B27</f>
        <v>0</v>
      </c>
    </row>
    <row r="28" ht="15.0" customHeight="1">
      <c r="A28" s="18" t="s">
        <v>319</v>
      </c>
      <c r="B28" s="20">
        <v>-4736.16</v>
      </c>
      <c r="C28" s="20">
        <v>437.58</v>
      </c>
      <c r="D28" s="24">
        <f t="shared" si="8"/>
        <v>5173.74</v>
      </c>
    </row>
    <row r="29" ht="15.0" customHeight="1">
      <c r="A29" s="28" t="s">
        <v>321</v>
      </c>
      <c r="B29" s="30">
        <f t="shared" ref="B29:C29" si="9">SUM(B27:B28)</f>
        <v>645263.84</v>
      </c>
      <c r="C29" s="30">
        <f t="shared" si="9"/>
        <v>650437.58</v>
      </c>
      <c r="D29" s="30">
        <f t="shared" si="8"/>
        <v>5173.74</v>
      </c>
    </row>
    <row r="30" ht="15.75" customHeight="1">
      <c r="A30" s="1"/>
      <c r="B30" s="1"/>
      <c r="C30" s="1"/>
      <c r="D30" s="1"/>
    </row>
    <row r="31" ht="15.0" customHeight="1">
      <c r="A31" s="73" t="s">
        <v>328</v>
      </c>
      <c r="B31" s="74">
        <f t="shared" ref="B31:C31" si="10">B24+B29</f>
        <v>1747183.49</v>
      </c>
      <c r="C31" s="74">
        <f t="shared" si="10"/>
        <v>1752357.23</v>
      </c>
      <c r="D31" s="74">
        <f>C31-B31</f>
        <v>5173.74</v>
      </c>
    </row>
    <row r="32" ht="15.75" customHeight="1">
      <c r="A32" s="1"/>
      <c r="B32" s="1"/>
      <c r="C32" s="1"/>
      <c r="D32" s="1"/>
    </row>
    <row r="33" ht="15.0" customHeight="1">
      <c r="A33" s="4" t="s">
        <v>333</v>
      </c>
      <c r="B33" s="1"/>
      <c r="C33" s="1"/>
      <c r="D33" s="1"/>
    </row>
    <row r="34" ht="15.0" customHeight="1">
      <c r="A34" s="18" t="s">
        <v>334</v>
      </c>
      <c r="B34" s="20">
        <v>761.32</v>
      </c>
      <c r="C34" s="20">
        <v>645.02</v>
      </c>
      <c r="D34" s="24">
        <f t="shared" ref="D34:D36" si="11">C34-B34</f>
        <v>-116.3</v>
      </c>
    </row>
    <row r="35" ht="15.0" customHeight="1">
      <c r="A35" s="18" t="s">
        <v>335</v>
      </c>
      <c r="B35" s="20">
        <v>1734.07</v>
      </c>
      <c r="C35" s="20">
        <v>1396.89</v>
      </c>
      <c r="D35" s="24">
        <f t="shared" si="11"/>
        <v>-337.18</v>
      </c>
    </row>
    <row r="36" ht="15.0" customHeight="1">
      <c r="A36" s="28" t="s">
        <v>337</v>
      </c>
      <c r="B36" s="30">
        <f t="shared" ref="B36:C36" si="12">SUM(B34:B35)</f>
        <v>2495.39</v>
      </c>
      <c r="C36" s="30">
        <f t="shared" si="12"/>
        <v>2041.91</v>
      </c>
      <c r="D36" s="30">
        <f t="shared" si="11"/>
        <v>-453.48</v>
      </c>
    </row>
    <row r="37" ht="15.75" customHeight="1">
      <c r="A37" s="1"/>
      <c r="B37" s="1"/>
      <c r="C37" s="1"/>
      <c r="D37" s="1"/>
    </row>
    <row r="38" ht="15.0" customHeight="1">
      <c r="A38" s="73" t="s">
        <v>338</v>
      </c>
      <c r="B38" s="74">
        <f t="shared" ref="B38:C38" si="13">B31+B36</f>
        <v>1749678.88</v>
      </c>
      <c r="C38" s="74">
        <f t="shared" si="13"/>
        <v>1754399.14</v>
      </c>
      <c r="D38" s="74">
        <f>C38-B38</f>
        <v>4720.26</v>
      </c>
    </row>
    <row r="39" ht="15.0" customHeight="1">
      <c r="A39" s="50" t="s">
        <v>340</v>
      </c>
      <c r="B39" s="75">
        <f t="shared" ref="B39:C39" si="14">B17-B38</f>
        <v>0.0000000004656612873</v>
      </c>
      <c r="C39" s="75">
        <f t="shared" si="14"/>
        <v>0.0000000002328306437</v>
      </c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0" customHeight="1">
      <c r="A42" s="7" t="s">
        <v>343</v>
      </c>
      <c r="B42" s="76" t="s">
        <v>262</v>
      </c>
      <c r="C42" s="76" t="s">
        <v>263</v>
      </c>
      <c r="D42" s="9"/>
    </row>
    <row r="43" ht="15.0" customHeight="1">
      <c r="A43" s="18" t="s">
        <v>344</v>
      </c>
      <c r="B43" s="77">
        <f t="shared" ref="B43:C43" si="15">B15/B36</f>
        <v>7.185830672</v>
      </c>
      <c r="C43" s="77">
        <f t="shared" si="15"/>
        <v>11.49595722</v>
      </c>
      <c r="D43" s="1"/>
    </row>
    <row r="44" ht="15.0" customHeight="1">
      <c r="A44" s="12" t="s">
        <v>347</v>
      </c>
      <c r="B44" s="78">
        <f>B14/(ABS(Kulut!E15)/12)</f>
        <v>5.541721582</v>
      </c>
      <c r="C44" s="78">
        <f>C14/(ABS(Kulut!F15)/12)</f>
        <v>7.029669745</v>
      </c>
      <c r="D44" s="1"/>
    </row>
    <row r="45" ht="15.0" customHeight="1">
      <c r="A45" s="18" t="s">
        <v>352</v>
      </c>
      <c r="B45" s="19" t="s">
        <v>353</v>
      </c>
      <c r="C45" s="19" t="s">
        <v>353</v>
      </c>
      <c r="D45" s="1"/>
    </row>
    <row r="46" ht="15.75" customHeight="1">
      <c r="A46" s="1"/>
      <c r="B46" s="1"/>
      <c r="C46" s="1"/>
      <c r="D46" s="1"/>
    </row>
    <row r="47" ht="39.75" customHeight="1">
      <c r="A47" s="45" t="s">
        <v>356</v>
      </c>
    </row>
    <row r="48" ht="39.75" customHeight="1">
      <c r="A48" s="45" t="s">
        <v>357</v>
      </c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mergeCells count="2">
    <mergeCell ref="A47:D47"/>
    <mergeCell ref="A48:D48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0"/>
    <col customWidth="1" min="2" max="4" width="12.0"/>
    <col customWidth="1" min="5" max="5" width="10.0"/>
    <col customWidth="1" min="6" max="8" width="12.0"/>
    <col customWidth="1" min="9" max="9" width="10.0"/>
    <col customWidth="1" min="10" max="12" width="12.0"/>
    <col customWidth="1" min="13" max="13" width="10.0"/>
    <col customWidth="1" min="14" max="14" width="38.0"/>
    <col customWidth="1" min="15" max="26" width="8.71"/>
  </cols>
  <sheetData>
    <row r="1" ht="17.25" customHeight="1">
      <c r="A1" s="2" t="s">
        <v>379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3.75" customHeight="1">
      <c r="A2" s="3" t="s">
        <v>380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5.0" customHeight="1">
      <c r="A4" s="7" t="s">
        <v>381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7.75" customHeight="1">
      <c r="A5" s="14" t="s">
        <v>17</v>
      </c>
      <c r="B5" s="14" t="s">
        <v>22</v>
      </c>
      <c r="C5" s="14" t="s">
        <v>41</v>
      </c>
      <c r="D5" s="14" t="s">
        <v>382</v>
      </c>
      <c r="E5" s="14" t="s">
        <v>383</v>
      </c>
      <c r="F5" s="14" t="s">
        <v>25</v>
      </c>
      <c r="G5" s="14" t="s">
        <v>40</v>
      </c>
      <c r="H5" s="14" t="s">
        <v>384</v>
      </c>
      <c r="I5" s="14" t="s">
        <v>385</v>
      </c>
      <c r="J5" s="14" t="s">
        <v>27</v>
      </c>
      <c r="K5" s="14" t="s">
        <v>29</v>
      </c>
      <c r="L5" s="14" t="s">
        <v>386</v>
      </c>
      <c r="M5" s="14" t="s">
        <v>387</v>
      </c>
      <c r="N5" s="14" t="s">
        <v>37</v>
      </c>
    </row>
    <row r="6" ht="26.25" customHeight="1">
      <c r="A6" s="18" t="s">
        <v>45</v>
      </c>
      <c r="B6" s="17">
        <f>Kulut!D5</f>
        <v>360</v>
      </c>
      <c r="C6" s="17">
        <f>Kulut!M5</f>
        <v>480</v>
      </c>
      <c r="D6" s="24">
        <f t="shared" ref="D6:D16" si="1">B6-C6</f>
        <v>-120</v>
      </c>
      <c r="E6" s="25">
        <f t="shared" ref="E6:E16" si="2">IFERROR(D6/C6,"")</f>
        <v>-0.25</v>
      </c>
      <c r="F6" s="17">
        <f>Kulut!E5</f>
        <v>600</v>
      </c>
      <c r="G6" s="17">
        <f>Kulut!L5</f>
        <v>360</v>
      </c>
      <c r="H6" s="24">
        <f t="shared" ref="H6:H16" si="3">F6-G6</f>
        <v>240</v>
      </c>
      <c r="I6" s="25">
        <f t="shared" ref="I6:I16" si="4">IFERROR(H6/G6,"")</f>
        <v>0.6666666667</v>
      </c>
      <c r="J6" s="17">
        <f>Kulut!F5</f>
        <v>600</v>
      </c>
      <c r="K6" s="17">
        <f>Kulut!G5</f>
        <v>600</v>
      </c>
      <c r="L6" s="24">
        <f t="shared" ref="L6:L16" si="5">J6-K6</f>
        <v>0</v>
      </c>
      <c r="M6" s="25">
        <f t="shared" ref="M6:M16" si="6">IFERROR(L6/K6,"")</f>
        <v>0</v>
      </c>
      <c r="N6" s="80" t="s">
        <v>388</v>
      </c>
    </row>
    <row r="7" ht="15.0" customHeight="1">
      <c r="A7" s="18" t="s">
        <v>74</v>
      </c>
      <c r="B7" s="17">
        <f>Kulut!D6</f>
        <v>8003.7</v>
      </c>
      <c r="C7" s="17">
        <f>Kulut!M6</f>
        <v>7243.96</v>
      </c>
      <c r="D7" s="24">
        <f t="shared" si="1"/>
        <v>759.74</v>
      </c>
      <c r="E7" s="25">
        <f t="shared" si="2"/>
        <v>0.1048790993</v>
      </c>
      <c r="F7" s="17">
        <f>Kulut!E6</f>
        <v>7885.63</v>
      </c>
      <c r="G7" s="17">
        <f>Kulut!L6</f>
        <v>7015</v>
      </c>
      <c r="H7" s="24">
        <f t="shared" si="3"/>
        <v>870.63</v>
      </c>
      <c r="I7" s="25">
        <f t="shared" si="4"/>
        <v>0.1241097648</v>
      </c>
      <c r="J7" s="17">
        <f>Kulut!F6</f>
        <v>7360.76</v>
      </c>
      <c r="K7" s="17">
        <f>Kulut!G6</f>
        <v>7719.32</v>
      </c>
      <c r="L7" s="24">
        <f t="shared" si="5"/>
        <v>-358.56</v>
      </c>
      <c r="M7" s="25">
        <f t="shared" si="6"/>
        <v>-0.04644968728</v>
      </c>
      <c r="N7" s="23"/>
    </row>
    <row r="8" ht="26.25" customHeight="1">
      <c r="A8" s="18" t="s">
        <v>80</v>
      </c>
      <c r="B8" s="17">
        <f>Kulut!D7</f>
        <v>1975.41</v>
      </c>
      <c r="C8" s="17">
        <f>Kulut!M7</f>
        <v>1916.66</v>
      </c>
      <c r="D8" s="24">
        <f t="shared" si="1"/>
        <v>58.75</v>
      </c>
      <c r="E8" s="25">
        <f t="shared" si="2"/>
        <v>0.03065228053</v>
      </c>
      <c r="F8" s="17">
        <f>Kulut!E7</f>
        <v>1450.42</v>
      </c>
      <c r="G8" s="17">
        <f>Kulut!L7</f>
        <v>1324</v>
      </c>
      <c r="H8" s="24">
        <f t="shared" si="3"/>
        <v>126.42</v>
      </c>
      <c r="I8" s="25">
        <f t="shared" si="4"/>
        <v>0.09548338369</v>
      </c>
      <c r="J8" s="17">
        <f>Kulut!F7</f>
        <v>4624.34</v>
      </c>
      <c r="K8" s="17">
        <f>Kulut!G7</f>
        <v>1332</v>
      </c>
      <c r="L8" s="24">
        <f t="shared" si="5"/>
        <v>3292.34</v>
      </c>
      <c r="M8" s="25">
        <f t="shared" si="6"/>
        <v>2.471726727</v>
      </c>
      <c r="N8" s="80" t="s">
        <v>389</v>
      </c>
    </row>
    <row r="9" ht="39.0" customHeight="1">
      <c r="A9" s="18" t="s">
        <v>90</v>
      </c>
      <c r="B9" s="17">
        <f>Kulut!D8</f>
        <v>3784.22</v>
      </c>
      <c r="C9" s="17">
        <f>Kulut!M8</f>
        <v>3300</v>
      </c>
      <c r="D9" s="24">
        <f t="shared" si="1"/>
        <v>484.22</v>
      </c>
      <c r="E9" s="25">
        <f t="shared" si="2"/>
        <v>0.1467333333</v>
      </c>
      <c r="F9" s="17">
        <f>Kulut!E8</f>
        <v>2186.5</v>
      </c>
      <c r="G9" s="17">
        <f>Kulut!L8</f>
        <v>4000</v>
      </c>
      <c r="H9" s="24">
        <f t="shared" si="3"/>
        <v>-1813.5</v>
      </c>
      <c r="I9" s="25">
        <f t="shared" si="4"/>
        <v>-0.453375</v>
      </c>
      <c r="J9" s="17">
        <f>Kulut!F8</f>
        <v>2193.69</v>
      </c>
      <c r="K9" s="17">
        <f>Kulut!G8</f>
        <v>4000</v>
      </c>
      <c r="L9" s="24">
        <f t="shared" si="5"/>
        <v>-1806.31</v>
      </c>
      <c r="M9" s="25">
        <f t="shared" si="6"/>
        <v>-0.4515775</v>
      </c>
      <c r="N9" s="80" t="s">
        <v>390</v>
      </c>
    </row>
    <row r="10" ht="15.0" customHeight="1">
      <c r="A10" s="18" t="s">
        <v>97</v>
      </c>
      <c r="B10" s="17">
        <f>Kulut!D9</f>
        <v>4995.73</v>
      </c>
      <c r="C10" s="17">
        <f>Kulut!M9</f>
        <v>5240</v>
      </c>
      <c r="D10" s="24">
        <f t="shared" si="1"/>
        <v>-244.27</v>
      </c>
      <c r="E10" s="25">
        <f t="shared" si="2"/>
        <v>-0.04661641221</v>
      </c>
      <c r="F10" s="17">
        <f>Kulut!E9</f>
        <v>6784.9</v>
      </c>
      <c r="G10" s="17">
        <f>Kulut!L9</f>
        <v>5270</v>
      </c>
      <c r="H10" s="24">
        <f t="shared" si="3"/>
        <v>1514.9</v>
      </c>
      <c r="I10" s="25">
        <f t="shared" si="4"/>
        <v>0.2874573055</v>
      </c>
      <c r="J10" s="17">
        <f>Kulut!F9</f>
        <v>7067.26</v>
      </c>
      <c r="K10" s="17">
        <f>Kulut!G9</f>
        <v>7270</v>
      </c>
      <c r="L10" s="24">
        <f t="shared" si="5"/>
        <v>-202.74</v>
      </c>
      <c r="M10" s="25">
        <f t="shared" si="6"/>
        <v>-0.0278872077</v>
      </c>
      <c r="N10" s="23"/>
    </row>
    <row r="11" ht="15.0" customHeight="1">
      <c r="A11" s="18" t="s">
        <v>102</v>
      </c>
      <c r="B11" s="17">
        <f>Kulut!D10</f>
        <v>3070.51</v>
      </c>
      <c r="C11" s="17">
        <f>Kulut!M10</f>
        <v>2600</v>
      </c>
      <c r="D11" s="24">
        <f t="shared" si="1"/>
        <v>470.51</v>
      </c>
      <c r="E11" s="25">
        <f t="shared" si="2"/>
        <v>0.1809653846</v>
      </c>
      <c r="F11" s="17">
        <f>Kulut!E10</f>
        <v>2624.14</v>
      </c>
      <c r="G11" s="17">
        <f>Kulut!L10</f>
        <v>2250</v>
      </c>
      <c r="H11" s="24">
        <f t="shared" si="3"/>
        <v>374.14</v>
      </c>
      <c r="I11" s="25">
        <f t="shared" si="4"/>
        <v>0.1662844444</v>
      </c>
      <c r="J11" s="17">
        <f>Kulut!F10</f>
        <v>2552.01</v>
      </c>
      <c r="K11" s="17">
        <f>Kulut!G10</f>
        <v>2860</v>
      </c>
      <c r="L11" s="24">
        <f t="shared" si="5"/>
        <v>-307.99</v>
      </c>
      <c r="M11" s="25">
        <f t="shared" si="6"/>
        <v>-0.1076888112</v>
      </c>
      <c r="N11" s="23"/>
    </row>
    <row r="12" ht="26.25" customHeight="1">
      <c r="A12" s="18" t="s">
        <v>105</v>
      </c>
      <c r="B12" s="17">
        <f>Kulut!D11</f>
        <v>3041.94</v>
      </c>
      <c r="C12" s="17">
        <f>Kulut!M11</f>
        <v>3300</v>
      </c>
      <c r="D12" s="24">
        <f t="shared" si="1"/>
        <v>-258.06</v>
      </c>
      <c r="E12" s="25">
        <f t="shared" si="2"/>
        <v>-0.0782</v>
      </c>
      <c r="F12" s="17">
        <f>Kulut!E11</f>
        <v>2873.98</v>
      </c>
      <c r="G12" s="17">
        <f>Kulut!L11</f>
        <v>3200</v>
      </c>
      <c r="H12" s="24">
        <f t="shared" si="3"/>
        <v>-326.02</v>
      </c>
      <c r="I12" s="25">
        <f t="shared" si="4"/>
        <v>-0.10188125</v>
      </c>
      <c r="J12" s="17">
        <f>Kulut!F11</f>
        <v>2939.55</v>
      </c>
      <c r="K12" s="17">
        <f>Kulut!G11</f>
        <v>3000</v>
      </c>
      <c r="L12" s="24">
        <f t="shared" si="5"/>
        <v>-60.45</v>
      </c>
      <c r="M12" s="25">
        <f t="shared" si="6"/>
        <v>-0.02015</v>
      </c>
      <c r="N12" s="80" t="s">
        <v>391</v>
      </c>
    </row>
    <row r="13" ht="15.0" customHeight="1">
      <c r="A13" s="18" t="s">
        <v>110</v>
      </c>
      <c r="B13" s="17">
        <f>Kulut!D12</f>
        <v>2809.46</v>
      </c>
      <c r="C13" s="17">
        <f>Kulut!M12</f>
        <v>2630.11</v>
      </c>
      <c r="D13" s="24">
        <f t="shared" si="1"/>
        <v>179.35</v>
      </c>
      <c r="E13" s="25">
        <f t="shared" si="2"/>
        <v>0.06819106425</v>
      </c>
      <c r="F13" s="17">
        <f>Kulut!E12</f>
        <v>2147.96</v>
      </c>
      <c r="G13" s="17">
        <f>Kulut!L12</f>
        <v>2916</v>
      </c>
      <c r="H13" s="24">
        <f t="shared" si="3"/>
        <v>-768.04</v>
      </c>
      <c r="I13" s="25">
        <f t="shared" si="4"/>
        <v>-0.263388203</v>
      </c>
      <c r="J13" s="17">
        <f>Kulut!F12</f>
        <v>1878.41</v>
      </c>
      <c r="K13" s="17">
        <f>Kulut!G12</f>
        <v>1874.39</v>
      </c>
      <c r="L13" s="24">
        <f t="shared" si="5"/>
        <v>4.02</v>
      </c>
      <c r="M13" s="25">
        <f t="shared" si="6"/>
        <v>0.002144697742</v>
      </c>
      <c r="N13" s="23"/>
    </row>
    <row r="14" ht="26.25" customHeight="1">
      <c r="A14" s="18" t="s">
        <v>113</v>
      </c>
      <c r="B14" s="17">
        <f>Kulut!D13</f>
        <v>4845.6</v>
      </c>
      <c r="C14" s="17">
        <f>Kulut!M13</f>
        <v>4845.6</v>
      </c>
      <c r="D14" s="24">
        <f t="shared" si="1"/>
        <v>0</v>
      </c>
      <c r="E14" s="25">
        <f t="shared" si="2"/>
        <v>0</v>
      </c>
      <c r="F14" s="17">
        <f>Kulut!E13</f>
        <v>4859.13</v>
      </c>
      <c r="G14" s="17">
        <f>Kulut!L13</f>
        <v>4859</v>
      </c>
      <c r="H14" s="24">
        <f t="shared" si="3"/>
        <v>0.13</v>
      </c>
      <c r="I14" s="25">
        <f t="shared" si="4"/>
        <v>0.00002675447623</v>
      </c>
      <c r="J14" s="17">
        <f>Kulut!F13</f>
        <v>4813.44</v>
      </c>
      <c r="K14" s="17">
        <f>Kulut!G13</f>
        <v>4880</v>
      </c>
      <c r="L14" s="24">
        <f t="shared" si="5"/>
        <v>-66.56</v>
      </c>
      <c r="M14" s="25">
        <f t="shared" si="6"/>
        <v>-0.01363934426</v>
      </c>
      <c r="N14" s="80" t="s">
        <v>392</v>
      </c>
    </row>
    <row r="15" ht="51.75" customHeight="1">
      <c r="A15" s="18" t="s">
        <v>117</v>
      </c>
      <c r="B15" s="17">
        <f>Kulut!D14</f>
        <v>1385.06</v>
      </c>
      <c r="C15" s="17">
        <f>Kulut!M14</f>
        <v>3000</v>
      </c>
      <c r="D15" s="24">
        <f t="shared" si="1"/>
        <v>-1614.94</v>
      </c>
      <c r="E15" s="25">
        <f t="shared" si="2"/>
        <v>-0.5383133333</v>
      </c>
      <c r="F15" s="17">
        <f>Kulut!E14</f>
        <v>5348.53</v>
      </c>
      <c r="G15" s="17">
        <f>Kulut!L14</f>
        <v>8000</v>
      </c>
      <c r="H15" s="24">
        <f t="shared" si="3"/>
        <v>-2651.47</v>
      </c>
      <c r="I15" s="25">
        <f t="shared" si="4"/>
        <v>-0.33143375</v>
      </c>
      <c r="J15" s="17">
        <f>Kulut!F14</f>
        <v>3881.55</v>
      </c>
      <c r="K15" s="17">
        <f>Kulut!G14</f>
        <v>9400</v>
      </c>
      <c r="L15" s="24">
        <f t="shared" si="5"/>
        <v>-5518.45</v>
      </c>
      <c r="M15" s="25">
        <f t="shared" si="6"/>
        <v>-0.5870691489</v>
      </c>
      <c r="N15" s="80" t="s">
        <v>393</v>
      </c>
    </row>
    <row r="16" ht="15.0" customHeight="1">
      <c r="A16" s="28" t="s">
        <v>122</v>
      </c>
      <c r="B16" s="72">
        <f>Kulut!D15</f>
        <v>34271.63</v>
      </c>
      <c r="C16" s="72">
        <f>Kulut!M15</f>
        <v>34556.33</v>
      </c>
      <c r="D16" s="30">
        <f t="shared" si="1"/>
        <v>-284.7</v>
      </c>
      <c r="E16" s="34">
        <f t="shared" si="2"/>
        <v>-0.00823872211</v>
      </c>
      <c r="F16" s="72">
        <f>Kulut!E15</f>
        <v>36761.19</v>
      </c>
      <c r="G16" s="72">
        <f>Kulut!L15</f>
        <v>39194</v>
      </c>
      <c r="H16" s="30">
        <f t="shared" si="3"/>
        <v>-2432.81</v>
      </c>
      <c r="I16" s="34">
        <f t="shared" si="4"/>
        <v>-0.06207098025</v>
      </c>
      <c r="J16" s="72">
        <f>Kulut!F15</f>
        <v>37911.01</v>
      </c>
      <c r="K16" s="72">
        <f>Kulut!G15</f>
        <v>42935.71</v>
      </c>
      <c r="L16" s="30">
        <f t="shared" si="5"/>
        <v>-5024.7</v>
      </c>
      <c r="M16" s="34">
        <f t="shared" si="6"/>
        <v>-0.1170284595</v>
      </c>
      <c r="N16" s="31"/>
    </row>
    <row r="17" ht="15.0" customHeight="1">
      <c r="A17" s="50" t="s">
        <v>394</v>
      </c>
      <c r="B17" s="1"/>
      <c r="C17" s="1"/>
      <c r="D17" s="1"/>
      <c r="E17" s="81">
        <f>SUMPRODUCT(ABS(E6:E15))/10</f>
        <v>0.1444550908</v>
      </c>
      <c r="F17" s="1"/>
      <c r="G17" s="1"/>
      <c r="H17" s="1"/>
      <c r="I17" s="81">
        <f>SUMPRODUCT(ABS(I6:I15))/10</f>
        <v>0.2490106523</v>
      </c>
      <c r="J17" s="1"/>
      <c r="K17" s="1"/>
      <c r="L17" s="1"/>
      <c r="M17" s="81">
        <f>SUMPRODUCT(ABS(M6:M15))/10</f>
        <v>0.3728333124</v>
      </c>
      <c r="N17" s="1"/>
    </row>
    <row r="18" ht="30.0" customHeight="1">
      <c r="A18" s="45" t="s">
        <v>395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5.0" customHeight="1">
      <c r="A21" s="7" t="s">
        <v>396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ht="27.75" customHeight="1">
      <c r="A22" s="14" t="s">
        <v>17</v>
      </c>
      <c r="B22" s="14" t="s">
        <v>22</v>
      </c>
      <c r="C22" s="14" t="s">
        <v>41</v>
      </c>
      <c r="D22" s="14" t="s">
        <v>382</v>
      </c>
      <c r="E22" s="14" t="s">
        <v>383</v>
      </c>
      <c r="F22" s="14" t="s">
        <v>25</v>
      </c>
      <c r="G22" s="14" t="s">
        <v>40</v>
      </c>
      <c r="H22" s="14" t="s">
        <v>384</v>
      </c>
      <c r="I22" s="14" t="s">
        <v>385</v>
      </c>
      <c r="J22" s="14" t="s">
        <v>27</v>
      </c>
      <c r="K22" s="14" t="s">
        <v>29</v>
      </c>
      <c r="L22" s="14" t="s">
        <v>386</v>
      </c>
      <c r="M22" s="14" t="s">
        <v>387</v>
      </c>
      <c r="N22" s="14" t="s">
        <v>37</v>
      </c>
    </row>
    <row r="23" ht="15.0" customHeight="1">
      <c r="A23" s="18" t="s">
        <v>269</v>
      </c>
      <c r="B23" s="17">
        <f>Tulot!B5</f>
        <v>36237.38</v>
      </c>
      <c r="C23" s="17">
        <f>Tulot!C5</f>
        <v>35609.69</v>
      </c>
      <c r="D23" s="24">
        <f t="shared" ref="D23:D26" si="7">B23-C23</f>
        <v>627.69</v>
      </c>
      <c r="E23" s="25">
        <f t="shared" ref="E23:E26" si="8">IFERROR(D23/C23,"")</f>
        <v>0.01762694368</v>
      </c>
      <c r="F23" s="17">
        <f>Tulot!D5</f>
        <v>40666.93</v>
      </c>
      <c r="G23" s="17">
        <f>Tulot!E5</f>
        <v>40252</v>
      </c>
      <c r="H23" s="24">
        <f t="shared" ref="H23:H26" si="9">F23-G23</f>
        <v>414.93</v>
      </c>
      <c r="I23" s="25">
        <f t="shared" ref="I23:I26" si="10">IFERROR(H23/G23,"")</f>
        <v>0.01030830766</v>
      </c>
      <c r="J23" s="17">
        <f>Tulot!F5</f>
        <v>43150.75</v>
      </c>
      <c r="K23" s="17">
        <f>Tulot!G5</f>
        <v>42187</v>
      </c>
      <c r="L23" s="24">
        <f t="shared" ref="L23:L26" si="11">J23-K23</f>
        <v>963.75</v>
      </c>
      <c r="M23" s="25">
        <f t="shared" ref="M23:M26" si="12">IFERROR(L23/K23,"")</f>
        <v>0.0228447152</v>
      </c>
      <c r="N23" s="12"/>
    </row>
    <row r="24" ht="15.0" customHeight="1">
      <c r="A24" s="18" t="s">
        <v>278</v>
      </c>
      <c r="B24" s="17">
        <f>Tulot!B6</f>
        <v>720</v>
      </c>
      <c r="C24" s="17">
        <f>Tulot!C6</f>
        <v>650</v>
      </c>
      <c r="D24" s="24">
        <f t="shared" si="7"/>
        <v>70</v>
      </c>
      <c r="E24" s="25">
        <f t="shared" si="8"/>
        <v>0.1076923077</v>
      </c>
      <c r="F24" s="17">
        <f>Tulot!D6</f>
        <v>756</v>
      </c>
      <c r="G24" s="17">
        <f>Tulot!E6</f>
        <v>756</v>
      </c>
      <c r="H24" s="24">
        <f t="shared" si="9"/>
        <v>0</v>
      </c>
      <c r="I24" s="25">
        <f t="shared" si="10"/>
        <v>0</v>
      </c>
      <c r="J24" s="17">
        <f>Tulot!F6</f>
        <v>756</v>
      </c>
      <c r="K24" s="17">
        <f>Tulot!G6</f>
        <v>756</v>
      </c>
      <c r="L24" s="24">
        <f t="shared" si="11"/>
        <v>0</v>
      </c>
      <c r="M24" s="25">
        <f t="shared" si="12"/>
        <v>0</v>
      </c>
      <c r="N24" s="12"/>
    </row>
    <row r="25" ht="15.0" customHeight="1">
      <c r="A25" s="18" t="s">
        <v>280</v>
      </c>
      <c r="B25" s="17">
        <f>Tulot!B7</f>
        <v>250</v>
      </c>
      <c r="C25" s="17">
        <f>Tulot!C7</f>
        <v>0</v>
      </c>
      <c r="D25" s="24">
        <f t="shared" si="7"/>
        <v>250</v>
      </c>
      <c r="E25" s="25" t="str">
        <f t="shared" si="8"/>
        <v/>
      </c>
      <c r="F25" s="17">
        <f>Tulot!D7</f>
        <v>0</v>
      </c>
      <c r="G25" s="17">
        <f>Tulot!E7</f>
        <v>0</v>
      </c>
      <c r="H25" s="24">
        <f t="shared" si="9"/>
        <v>0</v>
      </c>
      <c r="I25" s="25" t="str">
        <f t="shared" si="10"/>
        <v/>
      </c>
      <c r="J25" s="17">
        <f>Tulot!F7</f>
        <v>0</v>
      </c>
      <c r="K25" s="17">
        <f>Tulot!G7</f>
        <v>0</v>
      </c>
      <c r="L25" s="24">
        <f t="shared" si="11"/>
        <v>0</v>
      </c>
      <c r="M25" s="25" t="str">
        <f t="shared" si="12"/>
        <v/>
      </c>
      <c r="N25" s="12"/>
    </row>
    <row r="26" ht="15.0" customHeight="1">
      <c r="A26" s="28" t="s">
        <v>122</v>
      </c>
      <c r="B26" s="72">
        <f>Tulot!B8</f>
        <v>37207.38</v>
      </c>
      <c r="C26" s="72">
        <f>Tulot!C8</f>
        <v>36259.69</v>
      </c>
      <c r="D26" s="30">
        <f t="shared" si="7"/>
        <v>947.69</v>
      </c>
      <c r="E26" s="34">
        <f t="shared" si="8"/>
        <v>0.02613618594</v>
      </c>
      <c r="F26" s="72">
        <f>Tulot!D8</f>
        <v>41422.93</v>
      </c>
      <c r="G26" s="72">
        <f>Tulot!E8</f>
        <v>41008</v>
      </c>
      <c r="H26" s="30">
        <f t="shared" si="9"/>
        <v>414.93</v>
      </c>
      <c r="I26" s="34">
        <f t="shared" si="10"/>
        <v>0.01011826961</v>
      </c>
      <c r="J26" s="72">
        <f>Tulot!F8</f>
        <v>43906.75</v>
      </c>
      <c r="K26" s="72">
        <f>Tulot!G8</f>
        <v>42943</v>
      </c>
      <c r="L26" s="30">
        <f t="shared" si="11"/>
        <v>963.75</v>
      </c>
      <c r="M26" s="34">
        <f t="shared" si="12"/>
        <v>0.02244254011</v>
      </c>
      <c r="N26" s="3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">
    <mergeCell ref="A18:N1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2026-07-15T20:36:51Z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